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_ICCAT_Assessment_Files_Statistics\11_SWO_MED\2026\LLdiscard_estimate\"/>
    </mc:Choice>
  </mc:AlternateContent>
  <xr:revisionPtr revIDLastSave="0" documentId="13_ncr:1_{89A851B1-4855-4596-ABCE-2707889A831F}" xr6:coauthVersionLast="47" xr6:coauthVersionMax="47" xr10:uidLastSave="{00000000-0000-0000-0000-000000000000}"/>
  <bookViews>
    <workbookView xWindow="-120" yWindow="-120" windowWidth="29040" windowHeight="15720" xr2:uid="{07ED6F26-6963-4BA3-98DA-D408C50C9A31}"/>
  </bookViews>
  <sheets>
    <sheet name="estDD" sheetId="2" r:id="rId1"/>
    <sheet name="manual_check" sheetId="3" r:id="rId2"/>
  </sheets>
  <calcPr calcId="191029"/>
  <pivotCaches>
    <pivotCache cacheId="64" r:id="rId3"/>
    <pivotCache cacheId="7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7" i="3" l="1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78" i="3"/>
  <c r="J77" i="3"/>
  <c r="J76" i="3"/>
  <c r="J75" i="3"/>
  <c r="J74" i="3"/>
  <c r="J73" i="3"/>
  <c r="J72" i="3"/>
  <c r="J71" i="3"/>
  <c r="J70" i="3"/>
  <c r="J69" i="3"/>
  <c r="J68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V146" i="3"/>
  <c r="U146" i="3"/>
  <c r="T146" i="3"/>
  <c r="V145" i="3"/>
  <c r="U145" i="3"/>
  <c r="T145" i="3"/>
  <c r="V144" i="3"/>
  <c r="U144" i="3"/>
  <c r="T144" i="3"/>
  <c r="V143" i="3"/>
  <c r="U143" i="3"/>
  <c r="T143" i="3"/>
  <c r="V142" i="3"/>
  <c r="U142" i="3"/>
  <c r="T142" i="3"/>
  <c r="V141" i="3"/>
  <c r="U141" i="3"/>
  <c r="T141" i="3"/>
  <c r="V140" i="3"/>
  <c r="U140" i="3"/>
  <c r="T140" i="3"/>
  <c r="V139" i="3"/>
  <c r="U139" i="3"/>
  <c r="T139" i="3"/>
  <c r="V138" i="3"/>
  <c r="U138" i="3"/>
  <c r="T138" i="3"/>
  <c r="V137" i="3"/>
  <c r="U137" i="3"/>
  <c r="T137" i="3"/>
  <c r="V136" i="3"/>
  <c r="U136" i="3"/>
  <c r="T136" i="3"/>
  <c r="V135" i="3"/>
  <c r="U135" i="3"/>
  <c r="T135" i="3"/>
  <c r="V134" i="3"/>
  <c r="U134" i="3"/>
  <c r="T134" i="3"/>
  <c r="V133" i="3"/>
  <c r="U133" i="3"/>
  <c r="T133" i="3"/>
  <c r="V132" i="3"/>
  <c r="U132" i="3"/>
  <c r="T132" i="3"/>
  <c r="V131" i="3"/>
  <c r="U131" i="3"/>
  <c r="T131" i="3"/>
  <c r="V130" i="3"/>
  <c r="U130" i="3"/>
  <c r="T130" i="3"/>
  <c r="V129" i="3"/>
  <c r="U129" i="3"/>
  <c r="T129" i="3"/>
  <c r="V128" i="3"/>
  <c r="U128" i="3"/>
  <c r="T128" i="3"/>
  <c r="V127" i="3"/>
  <c r="U127" i="3"/>
  <c r="T127" i="3"/>
  <c r="V126" i="3"/>
  <c r="U126" i="3"/>
  <c r="T126" i="3"/>
  <c r="V125" i="3"/>
  <c r="U125" i="3"/>
  <c r="T125" i="3"/>
  <c r="V124" i="3"/>
  <c r="U124" i="3"/>
  <c r="T124" i="3"/>
  <c r="V123" i="3"/>
  <c r="U123" i="3"/>
  <c r="T123" i="3"/>
  <c r="V122" i="3"/>
  <c r="U122" i="3"/>
  <c r="T122" i="3"/>
  <c r="V121" i="3"/>
  <c r="U121" i="3"/>
  <c r="T121" i="3"/>
  <c r="V120" i="3"/>
  <c r="U120" i="3"/>
  <c r="T120" i="3"/>
  <c r="V119" i="3"/>
  <c r="U119" i="3"/>
  <c r="T119" i="3"/>
  <c r="V118" i="3"/>
  <c r="U118" i="3"/>
  <c r="T118" i="3"/>
  <c r="V117" i="3"/>
  <c r="U117" i="3"/>
  <c r="T117" i="3"/>
  <c r="V116" i="3"/>
  <c r="U116" i="3"/>
  <c r="T116" i="3"/>
  <c r="V115" i="3"/>
  <c r="U115" i="3"/>
  <c r="T115" i="3"/>
  <c r="V114" i="3"/>
  <c r="U114" i="3"/>
  <c r="T114" i="3"/>
  <c r="V113" i="3"/>
  <c r="U113" i="3"/>
  <c r="T113" i="3"/>
  <c r="V112" i="3"/>
  <c r="U112" i="3"/>
  <c r="T112" i="3"/>
  <c r="V111" i="3"/>
  <c r="U111" i="3"/>
  <c r="T111" i="3"/>
  <c r="V110" i="3"/>
  <c r="U110" i="3"/>
  <c r="T110" i="3"/>
  <c r="V109" i="3"/>
  <c r="U109" i="3"/>
  <c r="T109" i="3"/>
  <c r="V108" i="3"/>
  <c r="U108" i="3"/>
  <c r="T108" i="3"/>
  <c r="V107" i="3"/>
  <c r="U107" i="3"/>
  <c r="T107" i="3"/>
  <c r="V106" i="3"/>
  <c r="U106" i="3"/>
  <c r="T106" i="3"/>
  <c r="V105" i="3"/>
  <c r="U105" i="3"/>
  <c r="T105" i="3"/>
  <c r="V104" i="3"/>
  <c r="U104" i="3"/>
  <c r="T104" i="3"/>
  <c r="V103" i="3"/>
  <c r="U103" i="3"/>
  <c r="T103" i="3"/>
  <c r="V102" i="3"/>
  <c r="U102" i="3"/>
  <c r="T102" i="3"/>
  <c r="V101" i="3"/>
  <c r="U101" i="3"/>
  <c r="T101" i="3"/>
  <c r="V100" i="3"/>
  <c r="U100" i="3"/>
  <c r="T100" i="3"/>
  <c r="V99" i="3"/>
  <c r="U99" i="3"/>
  <c r="T99" i="3"/>
  <c r="V98" i="3"/>
  <c r="U98" i="3"/>
  <c r="T98" i="3"/>
  <c r="V97" i="3"/>
  <c r="U97" i="3"/>
  <c r="T97" i="3"/>
  <c r="V96" i="3"/>
  <c r="U96" i="3"/>
  <c r="T96" i="3"/>
  <c r="V95" i="3"/>
  <c r="U95" i="3"/>
  <c r="T95" i="3"/>
  <c r="V94" i="3"/>
  <c r="U94" i="3"/>
  <c r="T94" i="3"/>
  <c r="V93" i="3"/>
  <c r="U93" i="3"/>
  <c r="T93" i="3"/>
  <c r="V92" i="3"/>
  <c r="U92" i="3"/>
  <c r="T92" i="3"/>
  <c r="V91" i="3"/>
  <c r="U91" i="3"/>
  <c r="T91" i="3"/>
  <c r="V90" i="3"/>
  <c r="U90" i="3"/>
  <c r="T90" i="3"/>
  <c r="V89" i="3"/>
  <c r="U89" i="3"/>
  <c r="T89" i="3"/>
  <c r="V88" i="3"/>
  <c r="U88" i="3"/>
  <c r="T88" i="3"/>
  <c r="V87" i="3"/>
  <c r="U87" i="3"/>
  <c r="T87" i="3"/>
  <c r="V86" i="3"/>
  <c r="U86" i="3"/>
  <c r="T86" i="3"/>
  <c r="V85" i="3"/>
  <c r="U85" i="3"/>
  <c r="T85" i="3"/>
  <c r="V84" i="3"/>
  <c r="U84" i="3"/>
  <c r="T84" i="3"/>
  <c r="V83" i="3"/>
  <c r="U83" i="3"/>
  <c r="T83" i="3"/>
  <c r="V82" i="3"/>
  <c r="U82" i="3"/>
  <c r="T82" i="3"/>
  <c r="V81" i="3"/>
  <c r="U81" i="3"/>
  <c r="T81" i="3"/>
  <c r="V80" i="3"/>
  <c r="U80" i="3"/>
  <c r="T80" i="3"/>
  <c r="V79" i="3"/>
  <c r="U79" i="3"/>
  <c r="T79" i="3"/>
  <c r="V78" i="3"/>
  <c r="U78" i="3"/>
  <c r="T78" i="3"/>
  <c r="V77" i="3"/>
  <c r="U77" i="3"/>
  <c r="T77" i="3"/>
  <c r="V76" i="3"/>
  <c r="U76" i="3"/>
  <c r="T76" i="3"/>
  <c r="V75" i="3"/>
  <c r="U75" i="3"/>
  <c r="T75" i="3"/>
  <c r="V74" i="3"/>
  <c r="U74" i="3"/>
  <c r="T74" i="3"/>
  <c r="V73" i="3"/>
  <c r="U73" i="3"/>
  <c r="T73" i="3"/>
  <c r="V72" i="3"/>
  <c r="U72" i="3"/>
  <c r="T72" i="3"/>
  <c r="V71" i="3"/>
  <c r="U71" i="3"/>
  <c r="T71" i="3"/>
  <c r="V70" i="3"/>
  <c r="U70" i="3"/>
  <c r="T70" i="3"/>
  <c r="V69" i="3"/>
  <c r="U69" i="3"/>
  <c r="T69" i="3"/>
  <c r="V68" i="3"/>
  <c r="U68" i="3"/>
  <c r="T68" i="3"/>
  <c r="V67" i="3"/>
  <c r="U67" i="3"/>
  <c r="T67" i="3"/>
  <c r="V66" i="3"/>
  <c r="U66" i="3"/>
  <c r="T66" i="3"/>
  <c r="V65" i="3"/>
  <c r="U65" i="3"/>
  <c r="T65" i="3"/>
  <c r="V64" i="3"/>
  <c r="U64" i="3"/>
  <c r="T64" i="3"/>
  <c r="V63" i="3"/>
  <c r="U63" i="3"/>
  <c r="T63" i="3"/>
  <c r="V62" i="3"/>
  <c r="U62" i="3"/>
  <c r="T62" i="3"/>
  <c r="V61" i="3"/>
  <c r="U61" i="3"/>
  <c r="T61" i="3"/>
  <c r="V60" i="3"/>
  <c r="U60" i="3"/>
  <c r="T60" i="3"/>
  <c r="V59" i="3"/>
  <c r="U59" i="3"/>
  <c r="T59" i="3"/>
  <c r="V58" i="3"/>
  <c r="U58" i="3"/>
  <c r="T58" i="3"/>
  <c r="V57" i="3"/>
  <c r="U57" i="3"/>
  <c r="T57" i="3"/>
  <c r="V56" i="3"/>
  <c r="U56" i="3"/>
  <c r="T56" i="3"/>
  <c r="V55" i="3"/>
  <c r="U55" i="3"/>
  <c r="T55" i="3"/>
  <c r="V54" i="3"/>
  <c r="U54" i="3"/>
  <c r="T54" i="3"/>
  <c r="V53" i="3"/>
  <c r="U53" i="3"/>
  <c r="T53" i="3"/>
  <c r="V52" i="3"/>
  <c r="U52" i="3"/>
  <c r="T52" i="3"/>
  <c r="V51" i="3"/>
  <c r="U51" i="3"/>
  <c r="T51" i="3"/>
  <c r="V50" i="3"/>
  <c r="U50" i="3"/>
  <c r="T50" i="3"/>
  <c r="V49" i="3"/>
  <c r="U49" i="3"/>
  <c r="T49" i="3"/>
  <c r="V48" i="3"/>
  <c r="U48" i="3"/>
  <c r="T48" i="3"/>
  <c r="V47" i="3"/>
  <c r="U47" i="3"/>
  <c r="T47" i="3"/>
  <c r="V46" i="3"/>
  <c r="U46" i="3"/>
  <c r="T46" i="3"/>
  <c r="V45" i="3"/>
  <c r="U45" i="3"/>
  <c r="T45" i="3"/>
  <c r="V44" i="3"/>
  <c r="U44" i="3"/>
  <c r="T44" i="3"/>
  <c r="V43" i="3"/>
  <c r="U43" i="3"/>
  <c r="T43" i="3"/>
  <c r="V42" i="3"/>
  <c r="U42" i="3"/>
  <c r="T42" i="3"/>
  <c r="V41" i="3"/>
  <c r="U41" i="3"/>
  <c r="T41" i="3"/>
  <c r="V40" i="3"/>
  <c r="U40" i="3"/>
  <c r="T40" i="3"/>
  <c r="V39" i="3"/>
  <c r="U39" i="3"/>
  <c r="T39" i="3"/>
  <c r="V38" i="3"/>
  <c r="U38" i="3"/>
  <c r="T38" i="3"/>
  <c r="V37" i="3"/>
  <c r="U37" i="3"/>
  <c r="T37" i="3"/>
  <c r="V36" i="3"/>
  <c r="U36" i="3"/>
  <c r="T36" i="3"/>
  <c r="V35" i="3"/>
  <c r="U35" i="3"/>
  <c r="T35" i="3"/>
  <c r="V34" i="3"/>
  <c r="U34" i="3"/>
  <c r="T34" i="3"/>
  <c r="V33" i="3"/>
  <c r="U33" i="3"/>
  <c r="T33" i="3"/>
  <c r="V32" i="3"/>
  <c r="U32" i="3"/>
  <c r="T32" i="3"/>
  <c r="V31" i="3"/>
  <c r="U31" i="3"/>
  <c r="T31" i="3"/>
  <c r="V30" i="3"/>
  <c r="U30" i="3"/>
  <c r="T30" i="3"/>
  <c r="V29" i="3"/>
  <c r="U29" i="3"/>
  <c r="T29" i="3"/>
  <c r="V28" i="3"/>
  <c r="U28" i="3"/>
  <c r="T28" i="3"/>
  <c r="V27" i="3"/>
  <c r="U27" i="3"/>
  <c r="T27" i="3"/>
  <c r="V26" i="3"/>
  <c r="U26" i="3"/>
  <c r="T26" i="3"/>
  <c r="V25" i="3"/>
  <c r="U25" i="3"/>
  <c r="T25" i="3"/>
  <c r="V24" i="3"/>
  <c r="U24" i="3"/>
  <c r="T24" i="3"/>
  <c r="V23" i="3"/>
  <c r="U23" i="3"/>
  <c r="T23" i="3"/>
  <c r="V22" i="3"/>
  <c r="U22" i="3"/>
  <c r="T22" i="3"/>
  <c r="V21" i="3"/>
  <c r="U21" i="3"/>
  <c r="T21" i="3"/>
  <c r="V20" i="3"/>
  <c r="U20" i="3"/>
  <c r="T20" i="3"/>
  <c r="V19" i="3"/>
  <c r="U19" i="3"/>
  <c r="T19" i="3"/>
  <c r="V18" i="3"/>
  <c r="U18" i="3"/>
  <c r="T18" i="3"/>
  <c r="V17" i="3"/>
  <c r="U17" i="3"/>
  <c r="T17" i="3"/>
  <c r="V16" i="3"/>
  <c r="U16" i="3"/>
  <c r="T16" i="3"/>
  <c r="V15" i="3"/>
  <c r="U15" i="3"/>
  <c r="T15" i="3"/>
  <c r="V14" i="3"/>
  <c r="U14" i="3"/>
  <c r="T14" i="3"/>
  <c r="V13" i="3"/>
  <c r="U13" i="3"/>
  <c r="T13" i="3"/>
  <c r="V12" i="3"/>
  <c r="U12" i="3"/>
  <c r="T12" i="3"/>
  <c r="V11" i="3"/>
  <c r="U11" i="3"/>
  <c r="T11" i="3"/>
  <c r="V10" i="3"/>
  <c r="U10" i="3"/>
  <c r="T10" i="3"/>
  <c r="V9" i="3"/>
  <c r="U9" i="3"/>
  <c r="T9" i="3"/>
  <c r="V8" i="3"/>
  <c r="U8" i="3"/>
  <c r="T8" i="3"/>
  <c r="V7" i="3"/>
  <c r="U7" i="3"/>
  <c r="T7" i="3"/>
  <c r="V6" i="3"/>
  <c r="U6" i="3"/>
  <c r="T6" i="3"/>
  <c r="V5" i="3"/>
  <c r="U5" i="3"/>
  <c r="T5" i="3"/>
  <c r="V4" i="3"/>
  <c r="U4" i="3"/>
  <c r="T4" i="3"/>
  <c r="V3" i="3"/>
  <c r="U3" i="3"/>
  <c r="T3" i="3"/>
  <c r="I4" i="2"/>
  <c r="K4" i="2" s="1"/>
  <c r="J4" i="2"/>
  <c r="L4" i="2" s="1"/>
  <c r="M4" i="2" l="1"/>
  <c r="O4" i="2" s="1"/>
  <c r="Q4" i="2" s="1"/>
  <c r="S4" i="2" s="1"/>
  <c r="U4" i="2" s="1"/>
  <c r="W4" i="2" s="1"/>
  <c r="Y4" i="2" s="1"/>
  <c r="AA4" i="2" s="1"/>
  <c r="AC4" i="2" s="1"/>
  <c r="N4" i="2"/>
  <c r="P4" i="2" s="1"/>
  <c r="R4" i="2" s="1"/>
  <c r="T4" i="2" l="1"/>
  <c r="V4" i="2" s="1"/>
  <c r="X4" i="2" s="1"/>
  <c r="Z4" i="2" s="1"/>
  <c r="AB4" i="2" s="1"/>
</calcChain>
</file>

<file path=xl/sharedStrings.xml><?xml version="1.0" encoding="utf-8"?>
<sst xmlns="http://schemas.openxmlformats.org/spreadsheetml/2006/main" count="4216" uniqueCount="71">
  <si>
    <t>YearC</t>
  </si>
  <si>
    <t>EU-Italy</t>
  </si>
  <si>
    <t>EU-España</t>
  </si>
  <si>
    <t>EU-Greece</t>
  </si>
  <si>
    <t>Maroc</t>
  </si>
  <si>
    <t>Tunisie</t>
  </si>
  <si>
    <t>Algerie</t>
  </si>
  <si>
    <t>EU-Malta</t>
  </si>
  <si>
    <t>Türkiye</t>
  </si>
  <si>
    <t>EU-Cyprus</t>
  </si>
  <si>
    <t>Libya</t>
  </si>
  <si>
    <t>EU-France</t>
  </si>
  <si>
    <t>EU-Croatia</t>
  </si>
  <si>
    <t>Egypt</t>
  </si>
  <si>
    <t>FlagName</t>
  </si>
  <si>
    <t>Task1DD</t>
  </si>
  <si>
    <t>Estimated by Spain</t>
  </si>
  <si>
    <t>Estimated by Secretariat</t>
  </si>
  <si>
    <t>CPC provided DD but very small compared to the estimated by the Secretariat, ignore the submitted T1DD and use the esimated values by the Secretariat</t>
  </si>
  <si>
    <t>New Estimates by Spain has much smaller than the original Task1DD by Spain… Use the new values</t>
  </si>
  <si>
    <t>estDD</t>
  </si>
  <si>
    <t>based on Task1DD</t>
  </si>
  <si>
    <t>Delete T1DD  after 2014 for LL:</t>
  </si>
  <si>
    <t>because Spain provided the new estimates</t>
  </si>
  <si>
    <t>because those CPC provided a very small values compared to the estimated values by the Secretariat</t>
  </si>
  <si>
    <t>add the estimates of DD by the secretariat (LL)</t>
  </si>
  <si>
    <t>DiscardsEstim</t>
  </si>
  <si>
    <t>EstimUndersizeSWO.xlsx</t>
  </si>
  <si>
    <t>cellsBA78:BP88</t>
  </si>
  <si>
    <t>Delete T1DD  in  2020 for LL:</t>
  </si>
  <si>
    <t>Note for AK</t>
  </si>
  <si>
    <t>From Mauricio</t>
  </si>
  <si>
    <t>Year</t>
  </si>
  <si>
    <t>Catch</t>
  </si>
  <si>
    <t>CatchType</t>
  </si>
  <si>
    <t>DD</t>
  </si>
  <si>
    <t>L</t>
  </si>
  <si>
    <t>SWOMed_JABBA_catch_10April2026.csv</t>
  </si>
  <si>
    <t>Chinese Taipei</t>
  </si>
  <si>
    <t>Japan</t>
  </si>
  <si>
    <t>EU-Portugal</t>
  </si>
  <si>
    <t>Korea Rep</t>
  </si>
  <si>
    <t>NEI (MED)</t>
  </si>
  <si>
    <t>Syria</t>
  </si>
  <si>
    <t>remove</t>
  </si>
  <si>
    <t>zero but for AK calculation</t>
  </si>
  <si>
    <t>Row Labels</t>
  </si>
  <si>
    <t>Grand Total</t>
  </si>
  <si>
    <t>Column Labels</t>
  </si>
  <si>
    <t>Sum of Catch</t>
  </si>
  <si>
    <t>(blank)</t>
  </si>
  <si>
    <t>Sum of estDD</t>
  </si>
  <si>
    <t>sum</t>
  </si>
  <si>
    <t>check</t>
  </si>
  <si>
    <t>SWOMed_t1MedFlag_10April2026.csv</t>
  </si>
  <si>
    <t>GearGrp</t>
  </si>
  <si>
    <t>GN</t>
  </si>
  <si>
    <t>HL</t>
  </si>
  <si>
    <t>LL</t>
  </si>
  <si>
    <t>PS</t>
  </si>
  <si>
    <t>TP</t>
  </si>
  <si>
    <t>TR</t>
  </si>
  <si>
    <t>TW</t>
  </si>
  <si>
    <t>UN</t>
  </si>
  <si>
    <t>BB</t>
  </si>
  <si>
    <t>HP</t>
  </si>
  <si>
    <t>RR</t>
  </si>
  <si>
    <t>TN</t>
  </si>
  <si>
    <t>Albania</t>
  </si>
  <si>
    <t>include other gear</t>
  </si>
  <si>
    <t>OK!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</si>
</sst>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i Kimoto" refreshedDate="46122.560575694442" createdVersion="8" refreshedVersion="8" minRefreshableVersion="3" recordCount="143" xr:uid="{40B9FE00-2B19-49C4-A7AA-39A2FD4A5DC6}">
  <cacheSource type="worksheet">
    <worksheetSource ref="T3:V146" sheet="manual_check"/>
  </cacheSource>
  <cacheFields count="3">
    <cacheField name="YearC" numFmtId="0">
      <sharedItems containsSemiMixedTypes="0" containsString="0" containsNumber="1" containsInteger="1" minValue="2014" maxValue="2024" count="11"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estDD" numFmtId="0">
      <sharedItems containsSemiMixedTypes="0" containsString="0" containsNumber="1" minValue="0" maxValue="1246.9394882698637"/>
    </cacheField>
    <cacheField name="FlagNa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i Kimoto" refreshedDate="46122.560947337966" createdVersion="8" refreshedVersion="8" minRefreshableVersion="3" recordCount="1328" xr:uid="{EE54D0E1-D0E5-4851-AB99-D320C6C66B1D}">
  <cacheSource type="worksheet">
    <worksheetSource ref="M3:R1331" sheet="manual_check"/>
  </cacheSource>
  <cacheFields count="6">
    <cacheField name="Year" numFmtId="0">
      <sharedItems containsSemiMixedTypes="0" containsString="0" containsNumber="1" containsInteger="1" minValue="1950" maxValue="2024" count="75">
        <n v="2022"/>
        <n v="2023"/>
        <n v="2024"/>
        <n v="2014"/>
        <n v="2011"/>
        <n v="2015"/>
        <n v="2018"/>
        <n v="2019"/>
        <n v="2021"/>
        <n v="2008"/>
        <n v="2009"/>
        <n v="2010"/>
        <n v="2012"/>
        <n v="2013"/>
        <n v="2016"/>
        <n v="2017"/>
        <n v="2020"/>
        <n v="2004"/>
        <n v="2005"/>
        <n v="2006"/>
        <n v="2007"/>
        <n v="1989"/>
        <n v="1990"/>
        <n v="1991"/>
        <n v="1992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93"/>
        <n v="1994"/>
        <n v="1995"/>
        <n v="1996"/>
        <n v="1997"/>
        <n v="1998"/>
        <n v="1999"/>
        <n v="2000"/>
        <n v="2001"/>
        <n v="2002"/>
        <n v="2003"/>
        <n v="1950"/>
        <n v="1951"/>
        <n v="1952"/>
        <n v="1953"/>
        <n v="1954"/>
        <n v="1955"/>
        <n v="1956"/>
      </sharedItems>
    </cacheField>
    <cacheField name="FlagName" numFmtId="0">
      <sharedItems/>
    </cacheField>
    <cacheField name="GearGrp" numFmtId="0">
      <sharedItems/>
    </cacheField>
    <cacheField name="CatchType" numFmtId="0">
      <sharedItems count="2">
        <s v="DD"/>
        <s v="L"/>
      </sharedItems>
    </cacheField>
    <cacheField name="Catch" numFmtId="0">
      <sharedItems containsSemiMixedTypes="0" containsString="0" containsNumber="1" minValue="0" maxValue="8864.8991000000005"/>
    </cacheField>
    <cacheField name="remove" numFmtId="0">
      <sharedItems containsString="0" containsBlank="1" containsNumber="1" containsInteger="1" minValue="1" maxValue="1" count="2">
        <m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3">
  <r>
    <x v="0"/>
    <n v="0"/>
    <s v="EU-Italy"/>
  </r>
  <r>
    <x v="1"/>
    <n v="0"/>
    <s v="EU-Italy"/>
  </r>
  <r>
    <x v="2"/>
    <n v="0"/>
    <s v="EU-Italy"/>
  </r>
  <r>
    <x v="3"/>
    <n v="0"/>
    <s v="EU-Italy"/>
  </r>
  <r>
    <x v="4"/>
    <n v="0"/>
    <s v="EU-Italy"/>
  </r>
  <r>
    <x v="5"/>
    <n v="1000.8073848068221"/>
    <s v="EU-Italy"/>
  </r>
  <r>
    <x v="6"/>
    <n v="907.41008500892758"/>
    <s v="EU-Italy"/>
  </r>
  <r>
    <x v="7"/>
    <n v="812.70251308370166"/>
    <s v="EU-Italy"/>
  </r>
  <r>
    <x v="8"/>
    <n v="828.88551009018715"/>
    <s v="EU-Italy"/>
  </r>
  <r>
    <x v="9"/>
    <n v="934.30638544806095"/>
    <s v="EU-Italy"/>
  </r>
  <r>
    <x v="10"/>
    <n v="1246.9394882698637"/>
    <s v="EU-Italy"/>
  </r>
  <r>
    <x v="0"/>
    <n v="0"/>
    <s v="EU-España"/>
  </r>
  <r>
    <x v="1"/>
    <n v="35.340018626201598"/>
    <s v="EU-España"/>
  </r>
  <r>
    <x v="2"/>
    <n v="16.0439601474943"/>
    <s v="EU-España"/>
  </r>
  <r>
    <x v="3"/>
    <n v="96.4153033763792"/>
    <s v="EU-España"/>
  </r>
  <r>
    <x v="4"/>
    <n v="95.021806725970904"/>
    <s v="EU-España"/>
  </r>
  <r>
    <x v="5"/>
    <n v="46.771403029443498"/>
    <s v="EU-España"/>
  </r>
  <r>
    <x v="6"/>
    <n v="145.20124986586498"/>
    <s v="EU-España"/>
  </r>
  <r>
    <x v="7"/>
    <n v="87.097877492947092"/>
    <s v="EU-España"/>
  </r>
  <r>
    <x v="8"/>
    <n v="249.16247836086799"/>
    <s v="EU-España"/>
  </r>
  <r>
    <x v="9"/>
    <n v="187.427042735263"/>
    <s v="EU-España"/>
  </r>
  <r>
    <x v="10"/>
    <n v="125.840018608311"/>
    <s v="EU-España"/>
  </r>
  <r>
    <x v="0"/>
    <n v="153.33526419646813"/>
    <s v="EU-Greece"/>
  </r>
  <r>
    <x v="1"/>
    <n v="86.794320796997113"/>
    <s v="EU-Greece"/>
  </r>
  <r>
    <x v="2"/>
    <n v="86.804703984661472"/>
    <s v="EU-Greece"/>
  </r>
  <r>
    <x v="3"/>
    <n v="127.78784382548147"/>
    <s v="EU-Greece"/>
  </r>
  <r>
    <x v="4"/>
    <n v="114.18344041143409"/>
    <s v="EU-Greece"/>
  </r>
  <r>
    <x v="5"/>
    <n v="242.85586371220288"/>
    <s v="EU-Greece"/>
  </r>
  <r>
    <x v="6"/>
    <n v="214.25725729373619"/>
    <s v="EU-Greece"/>
  </r>
  <r>
    <x v="7"/>
    <n v="223.52681270993412"/>
    <s v="EU-Greece"/>
  </r>
  <r>
    <x v="8"/>
    <n v="120.84967148325492"/>
    <s v="EU-Greece"/>
  </r>
  <r>
    <x v="9"/>
    <n v="144.79237884229877"/>
    <s v="EU-Greece"/>
  </r>
  <r>
    <x v="10"/>
    <n v="163.3464303202779"/>
    <s v="EU-Greece"/>
  </r>
  <r>
    <x v="0"/>
    <n v="0"/>
    <s v="Maroc"/>
  </r>
  <r>
    <x v="1"/>
    <n v="0"/>
    <s v="Maroc"/>
  </r>
  <r>
    <x v="2"/>
    <n v="0"/>
    <s v="Maroc"/>
  </r>
  <r>
    <x v="3"/>
    <n v="0"/>
    <s v="Maroc"/>
  </r>
  <r>
    <x v="4"/>
    <n v="0"/>
    <s v="Maroc"/>
  </r>
  <r>
    <x v="5"/>
    <n v="406.34369654843982"/>
    <s v="Maroc"/>
  </r>
  <r>
    <x v="6"/>
    <n v="393.41198401397418"/>
    <s v="Maroc"/>
  </r>
  <r>
    <x v="7"/>
    <n v="382.32529508487369"/>
    <s v="Maroc"/>
  </r>
  <r>
    <x v="8"/>
    <n v="368.53312311113461"/>
    <s v="Maroc"/>
  </r>
  <r>
    <x v="9"/>
    <n v="370.85388150263657"/>
    <s v="Maroc"/>
  </r>
  <r>
    <x v="10"/>
    <n v="370.85388150263657"/>
    <s v="Maroc"/>
  </r>
  <r>
    <x v="0"/>
    <n v="0"/>
    <s v="Tunisie"/>
  </r>
  <r>
    <x v="1"/>
    <n v="0"/>
    <s v="Tunisie"/>
  </r>
  <r>
    <x v="2"/>
    <n v="0"/>
    <s v="Tunisie"/>
  </r>
  <r>
    <x v="3"/>
    <n v="0"/>
    <s v="Tunisie"/>
  </r>
  <r>
    <x v="4"/>
    <n v="0"/>
    <s v="Tunisie"/>
  </r>
  <r>
    <x v="5"/>
    <n v="385.69008531409975"/>
    <s v="Tunisie"/>
  </r>
  <r>
    <x v="6"/>
    <n v="379.04993909156144"/>
    <s v="Tunisie"/>
  </r>
  <r>
    <x v="7"/>
    <n v="367.79307428892503"/>
    <s v="Tunisie"/>
  </r>
  <r>
    <x v="8"/>
    <n v="353.98710360123101"/>
    <s v="Tunisie"/>
  </r>
  <r>
    <x v="9"/>
    <n v="302.77951824848981"/>
    <s v="Tunisie"/>
  </r>
  <r>
    <x v="10"/>
    <n v="329.74244314284323"/>
    <s v="Tunisie"/>
  </r>
  <r>
    <x v="0"/>
    <n v="0"/>
    <s v="Algerie"/>
  </r>
  <r>
    <x v="1"/>
    <n v="0"/>
    <s v="Algerie"/>
  </r>
  <r>
    <x v="2"/>
    <n v="0"/>
    <s v="Algerie"/>
  </r>
  <r>
    <x v="3"/>
    <n v="0"/>
    <s v="Algerie"/>
  </r>
  <r>
    <x v="4"/>
    <n v="0"/>
    <s v="Algerie"/>
  </r>
  <r>
    <x v="5"/>
    <n v="200.69259525240543"/>
    <s v="Algerie"/>
  </r>
  <r>
    <x v="6"/>
    <n v="194.27806448760845"/>
    <s v="Algerie"/>
  </r>
  <r>
    <x v="7"/>
    <n v="172.87044065346134"/>
    <s v="Algerie"/>
  </r>
  <r>
    <x v="8"/>
    <n v="182.96653977075033"/>
    <s v="Algerie"/>
  </r>
  <r>
    <x v="9"/>
    <n v="182.95374173476253"/>
    <s v="Algerie"/>
  </r>
  <r>
    <x v="10"/>
    <n v="183.16704233455928"/>
    <s v="Algerie"/>
  </r>
  <r>
    <x v="0"/>
    <n v="43.409076827696147"/>
    <s v="EU-Malta"/>
  </r>
  <r>
    <x v="1"/>
    <n v="56.420346818199683"/>
    <s v="EU-Malta"/>
  </r>
  <r>
    <x v="2"/>
    <n v="47.235715304345177"/>
    <s v="EU-Malta"/>
  </r>
  <r>
    <x v="3"/>
    <n v="136.41963400893735"/>
    <s v="EU-Malta"/>
  </r>
  <r>
    <x v="4"/>
    <n v="127.03471070489449"/>
    <s v="EU-Malta"/>
  </r>
  <r>
    <x v="5"/>
    <n v="167.98202225768557"/>
    <s v="EU-Malta"/>
  </r>
  <r>
    <x v="6"/>
    <n v="149.18250018688724"/>
    <s v="EU-Malta"/>
  </r>
  <r>
    <x v="7"/>
    <n v="161.49165650264786"/>
    <s v="EU-Malta"/>
  </r>
  <r>
    <x v="8"/>
    <n v="157.09802562049344"/>
    <s v="EU-Malta"/>
  </r>
  <r>
    <x v="9"/>
    <n v="148.52191682227991"/>
    <s v="EU-Malta"/>
  </r>
  <r>
    <x v="10"/>
    <n v="154.44108731545447"/>
    <s v="EU-Malta"/>
  </r>
  <r>
    <x v="0"/>
    <n v="0"/>
    <s v="Türkiye"/>
  </r>
  <r>
    <x v="1"/>
    <n v="0"/>
    <s v="Türkiye"/>
  </r>
  <r>
    <x v="2"/>
    <n v="0"/>
    <s v="Türkiye"/>
  </r>
  <r>
    <x v="3"/>
    <n v="0"/>
    <s v="Türkiye"/>
  </r>
  <r>
    <x v="4"/>
    <n v="0"/>
    <s v="Türkiye"/>
  </r>
  <r>
    <x v="5"/>
    <n v="159.74223275775552"/>
    <s v="Türkiye"/>
  </r>
  <r>
    <x v="6"/>
    <n v="155.53086918632042"/>
    <s v="Türkiye"/>
  </r>
  <r>
    <x v="7"/>
    <n v="147.61698066750375"/>
    <s v="Türkiye"/>
  </r>
  <r>
    <x v="8"/>
    <n v="126.50638311835509"/>
    <s v="Türkiye"/>
  </r>
  <r>
    <x v="9"/>
    <n v="142.18523177821663"/>
    <s v="Türkiye"/>
  </r>
  <r>
    <x v="10"/>
    <n v="142.51618372882058"/>
    <s v="Türkiye"/>
  </r>
  <r>
    <x v="0"/>
    <n v="6.7466396998118032"/>
    <s v="EU-Cyprus"/>
  </r>
  <r>
    <x v="1"/>
    <n v="5.1592898325264791"/>
    <s v="EU-Cyprus"/>
  </r>
  <r>
    <x v="2"/>
    <n v="4.9768953465436416"/>
    <s v="EU-Cyprus"/>
  </r>
  <r>
    <x v="3"/>
    <n v="19.763193071509821"/>
    <s v="EU-Cyprus"/>
  </r>
  <r>
    <x v="4"/>
    <n v="18.100820009667068"/>
    <s v="EU-Cyprus"/>
  </r>
  <r>
    <x v="5"/>
    <n v="9.5913187851431054"/>
    <s v="EU-Cyprus"/>
  </r>
  <r>
    <x v="6"/>
    <n v="11.923900737211062"/>
    <s v="EU-Cyprus"/>
  </r>
  <r>
    <x v="7"/>
    <n v="22.192202224192819"/>
    <s v="EU-Cyprus"/>
  </r>
  <r>
    <x v="8"/>
    <n v="14.432220067021406"/>
    <s v="EU-Cyprus"/>
  </r>
  <r>
    <x v="9"/>
    <n v="22.862144146548538"/>
    <s v="EU-Cyprus"/>
  </r>
  <r>
    <x v="10"/>
    <n v="24.467402819623704"/>
    <s v="EU-Cyprus"/>
  </r>
  <r>
    <x v="0"/>
    <n v="0"/>
    <s v="Libya"/>
  </r>
  <r>
    <x v="1"/>
    <n v="67.081709542105173"/>
    <s v="Libya"/>
  </r>
  <r>
    <x v="2"/>
    <n v="110.08280540242902"/>
    <s v="Libya"/>
  </r>
  <r>
    <x v="3"/>
    <n v="11.634578170732116"/>
    <s v="Libya"/>
  </r>
  <r>
    <x v="4"/>
    <n v="27.147349065041603"/>
    <s v="Libya"/>
  </r>
  <r>
    <x v="5"/>
    <n v="10.083301081301167"/>
    <s v="Libya"/>
  </r>
  <r>
    <x v="6"/>
    <n v="8.5320239918702168"/>
    <s v="Libya"/>
  </r>
  <r>
    <x v="7"/>
    <n v="7.3685661747970066"/>
    <s v="Libya"/>
  </r>
  <r>
    <x v="8"/>
    <n v="8.14420471951248"/>
    <s v="Libya"/>
  </r>
  <r>
    <x v="9"/>
    <n v="96.954818089434298"/>
    <s v="Libya"/>
  </r>
  <r>
    <x v="10"/>
    <n v="46.538312682928463"/>
    <s v="Libya"/>
  </r>
  <r>
    <x v="0"/>
    <n v="13.721568838507743"/>
    <s v="EU-France"/>
  </r>
  <r>
    <x v="1"/>
    <n v="20.585000832416885"/>
    <s v="EU-France"/>
  </r>
  <r>
    <x v="2"/>
    <n v="19.808760098130445"/>
    <s v="EU-France"/>
  </r>
  <r>
    <x v="3"/>
    <n v="43.799500592790523"/>
    <s v="EU-France"/>
  </r>
  <r>
    <x v="4"/>
    <n v="33.882463727932624"/>
    <s v="EU-France"/>
  </r>
  <r>
    <x v="5"/>
    <n v="28.03057017227361"/>
    <s v="EU-France"/>
  </r>
  <r>
    <x v="6"/>
    <n v="42.408642475867914"/>
    <s v="EU-France"/>
  </r>
  <r>
    <x v="7"/>
    <n v="37.0571310591409"/>
    <s v="EU-France"/>
  </r>
  <r>
    <x v="8"/>
    <n v="24.36747108535776"/>
    <s v="EU-France"/>
  </r>
  <r>
    <x v="9"/>
    <n v="25.960528824298699"/>
    <s v="EU-France"/>
  </r>
  <r>
    <x v="10"/>
    <n v="30.499915604977403"/>
    <s v="EU-France"/>
  </r>
  <r>
    <x v="0"/>
    <n v="1.4328404026732089"/>
    <s v="EU-Croatia"/>
  </r>
  <r>
    <x v="1"/>
    <n v="0.59793416800609089"/>
    <s v="EU-Croatia"/>
  </r>
  <r>
    <x v="2"/>
    <n v="2.4059293799170973"/>
    <s v="EU-Croatia"/>
  </r>
  <r>
    <x v="3"/>
    <n v="6.6463353552574631"/>
    <s v="EU-Croatia"/>
  </r>
  <r>
    <x v="4"/>
    <n v="10.744459462723034"/>
    <s v="EU-Croatia"/>
  </r>
  <r>
    <x v="5"/>
    <n v="12.60109781548881"/>
    <s v="EU-Croatia"/>
  </r>
  <r>
    <x v="6"/>
    <n v="9.2247686876824577"/>
    <s v="EU-Croatia"/>
  </r>
  <r>
    <x v="7"/>
    <n v="9.7333792945390893"/>
    <s v="EU-Croatia"/>
  </r>
  <r>
    <x v="8"/>
    <n v="14.992376932262577"/>
    <s v="EU-Croatia"/>
  </r>
  <r>
    <x v="9"/>
    <n v="15.786919682038343"/>
    <s v="EU-Croatia"/>
  </r>
  <r>
    <x v="10"/>
    <n v="15.491497170832858"/>
    <s v="EU-Croatia"/>
  </r>
  <r>
    <x v="0"/>
    <n v="4.1739730381754332E-2"/>
    <s v="Egypt"/>
  </r>
  <r>
    <x v="1"/>
    <n v="0"/>
    <s v="Egypt"/>
  </r>
  <r>
    <x v="2"/>
    <n v="0"/>
    <s v="Egypt"/>
  </r>
  <r>
    <x v="3"/>
    <n v="0"/>
    <s v="Egypt"/>
  </r>
  <r>
    <x v="4"/>
    <n v="1.5512770894309487"/>
    <s v="Egypt"/>
  </r>
  <r>
    <x v="5"/>
    <n v="0"/>
    <s v="Egypt"/>
  </r>
  <r>
    <x v="6"/>
    <n v="1.5512770894309487"/>
    <s v="Egypt"/>
  </r>
  <r>
    <x v="7"/>
    <n v="2.7147349065041602"/>
    <s v="Egypt"/>
  </r>
  <r>
    <x v="8"/>
    <n v="10.083301081301167"/>
    <s v="Egypt"/>
  </r>
  <r>
    <x v="9"/>
    <n v="28.310806882114814"/>
    <s v="Egypt"/>
  </r>
  <r>
    <x v="10"/>
    <n v="38.781927235773722"/>
    <s v="Egypt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28">
  <r>
    <x v="0"/>
    <s v="EU-France"/>
    <s v="GN"/>
    <x v="0"/>
    <n v="0"/>
    <x v="0"/>
  </r>
  <r>
    <x v="1"/>
    <s v="EU-France"/>
    <s v="GN"/>
    <x v="0"/>
    <n v="0"/>
    <x v="0"/>
  </r>
  <r>
    <x v="2"/>
    <s v="EU-France"/>
    <s v="GN"/>
    <x v="0"/>
    <n v="0"/>
    <x v="0"/>
  </r>
  <r>
    <x v="3"/>
    <s v="Maroc"/>
    <s v="GN"/>
    <x v="0"/>
    <n v="0"/>
    <x v="0"/>
  </r>
  <r>
    <x v="0"/>
    <s v="EU-France"/>
    <s v="HL"/>
    <x v="0"/>
    <n v="0"/>
    <x v="0"/>
  </r>
  <r>
    <x v="1"/>
    <s v="EU-France"/>
    <s v="HL"/>
    <x v="0"/>
    <n v="3.5000000000000003E-2"/>
    <x v="0"/>
  </r>
  <r>
    <x v="2"/>
    <s v="EU-France"/>
    <s v="HL"/>
    <x v="0"/>
    <n v="0"/>
    <x v="0"/>
  </r>
  <r>
    <x v="3"/>
    <s v="Maroc"/>
    <s v="HL"/>
    <x v="0"/>
    <n v="0"/>
    <x v="0"/>
  </r>
  <r>
    <x v="4"/>
    <s v="EU-España"/>
    <s v="LL"/>
    <x v="0"/>
    <n v="0"/>
    <x v="0"/>
  </r>
  <r>
    <x v="5"/>
    <s v="EU-España"/>
    <s v="LL"/>
    <x v="0"/>
    <n v="6.7089999999999996"/>
    <x v="1"/>
  </r>
  <r>
    <x v="6"/>
    <s v="EU-España"/>
    <s v="LL"/>
    <x v="0"/>
    <n v="83.529499999999999"/>
    <x v="1"/>
  </r>
  <r>
    <x v="7"/>
    <s v="EU-España"/>
    <s v="LL"/>
    <x v="0"/>
    <n v="89.391090000000005"/>
    <x v="1"/>
  </r>
  <r>
    <x v="8"/>
    <s v="EU-España"/>
    <s v="LL"/>
    <x v="0"/>
    <n v="187.96349000000001"/>
    <x v="1"/>
  </r>
  <r>
    <x v="0"/>
    <s v="EU-España"/>
    <s v="LL"/>
    <x v="0"/>
    <n v="90"/>
    <x v="1"/>
  </r>
  <r>
    <x v="1"/>
    <s v="EU-España"/>
    <s v="LL"/>
    <x v="0"/>
    <n v="107.236"/>
    <x v="1"/>
  </r>
  <r>
    <x v="2"/>
    <s v="EU-España"/>
    <s v="LL"/>
    <x v="0"/>
    <n v="66.843999999999994"/>
    <x v="1"/>
  </r>
  <r>
    <x v="9"/>
    <s v="Türkiye"/>
    <s v="LL"/>
    <x v="0"/>
    <n v="55.424889999999998"/>
    <x v="0"/>
  </r>
  <r>
    <x v="10"/>
    <s v="Türkiye"/>
    <s v="LL"/>
    <x v="0"/>
    <n v="43.219929999999998"/>
    <x v="0"/>
  </r>
  <r>
    <x v="11"/>
    <s v="Türkiye"/>
    <s v="LL"/>
    <x v="0"/>
    <n v="47.958329999999997"/>
    <x v="0"/>
  </r>
  <r>
    <x v="4"/>
    <s v="Türkiye"/>
    <s v="LL"/>
    <x v="0"/>
    <n v="27.224250000000001"/>
    <x v="0"/>
  </r>
  <r>
    <x v="12"/>
    <s v="Türkiye"/>
    <s v="LL"/>
    <x v="0"/>
    <n v="9.5482999999999993"/>
    <x v="0"/>
  </r>
  <r>
    <x v="13"/>
    <s v="Türkiye"/>
    <s v="LL"/>
    <x v="0"/>
    <n v="13.8993"/>
    <x v="0"/>
  </r>
  <r>
    <x v="3"/>
    <s v="Türkiye"/>
    <s v="LL"/>
    <x v="0"/>
    <n v="15.771520000000001"/>
    <x v="0"/>
  </r>
  <r>
    <x v="5"/>
    <s v="Türkiye"/>
    <s v="LL"/>
    <x v="0"/>
    <n v="9.8819700000000008"/>
    <x v="0"/>
  </r>
  <r>
    <x v="14"/>
    <s v="Türkiye"/>
    <s v="LL"/>
    <x v="0"/>
    <n v="19.783770000000001"/>
    <x v="0"/>
  </r>
  <r>
    <x v="15"/>
    <s v="Türkiye"/>
    <s v="LL"/>
    <x v="0"/>
    <n v="151.15246999999999"/>
    <x v="0"/>
  </r>
  <r>
    <x v="6"/>
    <s v="Türkiye"/>
    <s v="LL"/>
    <x v="0"/>
    <n v="147.97722999999999"/>
    <x v="0"/>
  </r>
  <r>
    <x v="9"/>
    <s v="Algerie"/>
    <s v="LL"/>
    <x v="0"/>
    <n v="175.24804"/>
    <x v="0"/>
  </r>
  <r>
    <x v="10"/>
    <s v="Algerie"/>
    <s v="LL"/>
    <x v="0"/>
    <n v="102.26443999999999"/>
    <x v="0"/>
  </r>
  <r>
    <x v="11"/>
    <s v="Algerie"/>
    <s v="LL"/>
    <x v="0"/>
    <n v="100.39353"/>
    <x v="0"/>
  </r>
  <r>
    <x v="4"/>
    <s v="Algerie"/>
    <s v="LL"/>
    <x v="0"/>
    <n v="42.015830000000001"/>
    <x v="0"/>
  </r>
  <r>
    <x v="12"/>
    <s v="Algerie"/>
    <s v="LL"/>
    <x v="0"/>
    <n v="77.686670000000007"/>
    <x v="0"/>
  </r>
  <r>
    <x v="13"/>
    <s v="Algerie"/>
    <s v="LL"/>
    <x v="0"/>
    <n v="83.800030000000007"/>
    <x v="0"/>
  </r>
  <r>
    <x v="3"/>
    <s v="Algerie"/>
    <s v="LL"/>
    <x v="0"/>
    <n v="144.83017000000001"/>
    <x v="0"/>
  </r>
  <r>
    <x v="5"/>
    <s v="Algerie"/>
    <s v="LL"/>
    <x v="0"/>
    <n v="147.27955"/>
    <x v="0"/>
  </r>
  <r>
    <x v="14"/>
    <s v="Algerie"/>
    <s v="LL"/>
    <x v="0"/>
    <n v="175.75011000000001"/>
    <x v="0"/>
  </r>
  <r>
    <x v="15"/>
    <s v="Algerie"/>
    <s v="LL"/>
    <x v="0"/>
    <n v="205.26372000000001"/>
    <x v="0"/>
  </r>
  <r>
    <x v="6"/>
    <s v="Algerie"/>
    <s v="LL"/>
    <x v="0"/>
    <n v="197.05316999999999"/>
    <x v="0"/>
  </r>
  <r>
    <x v="16"/>
    <s v="Algerie"/>
    <s v="LL"/>
    <x v="0"/>
    <n v="0"/>
    <x v="1"/>
  </r>
  <r>
    <x v="4"/>
    <s v="Chinese Taipei"/>
    <s v="LL"/>
    <x v="0"/>
    <n v="0"/>
    <x v="0"/>
  </r>
  <r>
    <x v="12"/>
    <s v="Chinese Taipei"/>
    <s v="LL"/>
    <x v="0"/>
    <n v="0"/>
    <x v="0"/>
  </r>
  <r>
    <x v="13"/>
    <s v="Chinese Taipei"/>
    <s v="LL"/>
    <x v="0"/>
    <n v="0"/>
    <x v="0"/>
  </r>
  <r>
    <x v="3"/>
    <s v="Chinese Taipei"/>
    <s v="LL"/>
    <x v="0"/>
    <n v="0"/>
    <x v="0"/>
  </r>
  <r>
    <x v="14"/>
    <s v="Chinese Taipei"/>
    <s v="LL"/>
    <x v="0"/>
    <n v="0"/>
    <x v="0"/>
  </r>
  <r>
    <x v="15"/>
    <s v="Chinese Taipei"/>
    <s v="LL"/>
    <x v="0"/>
    <n v="0"/>
    <x v="0"/>
  </r>
  <r>
    <x v="6"/>
    <s v="Chinese Taipei"/>
    <s v="LL"/>
    <x v="0"/>
    <n v="0"/>
    <x v="0"/>
  </r>
  <r>
    <x v="7"/>
    <s v="Chinese Taipei"/>
    <s v="LL"/>
    <x v="0"/>
    <n v="0"/>
    <x v="0"/>
  </r>
  <r>
    <x v="16"/>
    <s v="Chinese Taipei"/>
    <s v="LL"/>
    <x v="0"/>
    <n v="0"/>
    <x v="0"/>
  </r>
  <r>
    <x v="8"/>
    <s v="Chinese Taipei"/>
    <s v="LL"/>
    <x v="0"/>
    <n v="0"/>
    <x v="0"/>
  </r>
  <r>
    <x v="0"/>
    <s v="Chinese Taipei"/>
    <s v="LL"/>
    <x v="0"/>
    <n v="0"/>
    <x v="0"/>
  </r>
  <r>
    <x v="0"/>
    <s v="Egypt"/>
    <s v="LL"/>
    <x v="0"/>
    <n v="0"/>
    <x v="1"/>
  </r>
  <r>
    <x v="2"/>
    <s v="Egypt"/>
    <s v="LL"/>
    <x v="0"/>
    <n v="0"/>
    <x v="1"/>
  </r>
  <r>
    <x v="16"/>
    <s v="EU-Croatia"/>
    <s v="LL"/>
    <x v="0"/>
    <n v="2.5999999999999999E-2"/>
    <x v="1"/>
  </r>
  <r>
    <x v="8"/>
    <s v="EU-Croatia"/>
    <s v="LL"/>
    <x v="0"/>
    <n v="8.9999999999999993E-3"/>
    <x v="1"/>
  </r>
  <r>
    <x v="0"/>
    <s v="EU-Croatia"/>
    <s v="LL"/>
    <x v="0"/>
    <n v="0.221"/>
    <x v="1"/>
  </r>
  <r>
    <x v="1"/>
    <s v="EU-Croatia"/>
    <s v="LL"/>
    <x v="0"/>
    <n v="1.2509999999999999"/>
    <x v="1"/>
  </r>
  <r>
    <x v="2"/>
    <s v="EU-Croatia"/>
    <s v="LL"/>
    <x v="0"/>
    <n v="0.55400000000000005"/>
    <x v="1"/>
  </r>
  <r>
    <x v="4"/>
    <s v="EU-Cyprus"/>
    <s v="LL"/>
    <x v="0"/>
    <n v="0"/>
    <x v="0"/>
  </r>
  <r>
    <x v="13"/>
    <s v="EU-Cyprus"/>
    <s v="LL"/>
    <x v="0"/>
    <n v="0"/>
    <x v="0"/>
  </r>
  <r>
    <x v="16"/>
    <s v="EU-Cyprus"/>
    <s v="LL"/>
    <x v="0"/>
    <n v="0.35099999999999998"/>
    <x v="1"/>
  </r>
  <r>
    <x v="0"/>
    <s v="EU-Cyprus"/>
    <s v="LL"/>
    <x v="0"/>
    <n v="0.02"/>
    <x v="1"/>
  </r>
  <r>
    <x v="1"/>
    <s v="EU-Cyprus"/>
    <s v="LL"/>
    <x v="0"/>
    <n v="0.23200000000000001"/>
    <x v="1"/>
  </r>
  <r>
    <x v="2"/>
    <s v="EU-Cyprus"/>
    <s v="LL"/>
    <x v="0"/>
    <n v="0.38819999999999999"/>
    <x v="1"/>
  </r>
  <r>
    <x v="0"/>
    <s v="EU-France"/>
    <s v="LL"/>
    <x v="0"/>
    <n v="0"/>
    <x v="1"/>
  </r>
  <r>
    <x v="1"/>
    <s v="EU-France"/>
    <s v="LL"/>
    <x v="0"/>
    <n v="0"/>
    <x v="1"/>
  </r>
  <r>
    <x v="2"/>
    <s v="EU-France"/>
    <s v="LL"/>
    <x v="0"/>
    <n v="8.7999999999999995E-2"/>
    <x v="1"/>
  </r>
  <r>
    <x v="17"/>
    <s v="EU-Greece"/>
    <s v="LL"/>
    <x v="0"/>
    <n v="8.85"/>
    <x v="0"/>
  </r>
  <r>
    <x v="18"/>
    <s v="EU-Greece"/>
    <s v="LL"/>
    <x v="0"/>
    <n v="113.07299999999999"/>
    <x v="0"/>
  </r>
  <r>
    <x v="19"/>
    <s v="EU-Greece"/>
    <s v="LL"/>
    <x v="0"/>
    <n v="15.57"/>
    <x v="0"/>
  </r>
  <r>
    <x v="20"/>
    <s v="EU-Greece"/>
    <s v="LL"/>
    <x v="0"/>
    <n v="19.45"/>
    <x v="0"/>
  </r>
  <r>
    <x v="9"/>
    <s v="EU-Greece"/>
    <s v="LL"/>
    <x v="0"/>
    <n v="27.125"/>
    <x v="0"/>
  </r>
  <r>
    <x v="9"/>
    <s v="EU-Italy"/>
    <s v="LL"/>
    <x v="0"/>
    <n v="724.41354999999999"/>
    <x v="0"/>
  </r>
  <r>
    <x v="10"/>
    <s v="EU-Italy"/>
    <s v="LL"/>
    <x v="0"/>
    <n v="750.91291000000001"/>
    <x v="0"/>
  </r>
  <r>
    <x v="11"/>
    <s v="EU-Italy"/>
    <s v="LL"/>
    <x v="0"/>
    <n v="817.35788000000002"/>
    <x v="0"/>
  </r>
  <r>
    <x v="4"/>
    <s v="EU-Italy"/>
    <s v="LL"/>
    <x v="0"/>
    <n v="733.70387000000005"/>
    <x v="0"/>
  </r>
  <r>
    <x v="12"/>
    <s v="EU-Italy"/>
    <s v="LL"/>
    <x v="0"/>
    <n v="617.88523999999995"/>
    <x v="0"/>
  </r>
  <r>
    <x v="13"/>
    <s v="EU-Italy"/>
    <s v="LL"/>
    <x v="0"/>
    <n v="456.26274999999998"/>
    <x v="0"/>
  </r>
  <r>
    <x v="3"/>
    <s v="EU-Italy"/>
    <s v="LL"/>
    <x v="0"/>
    <n v="537.86406999999997"/>
    <x v="0"/>
  </r>
  <r>
    <x v="5"/>
    <s v="EU-Italy"/>
    <s v="LL"/>
    <x v="0"/>
    <n v="669.76264000000003"/>
    <x v="0"/>
  </r>
  <r>
    <x v="14"/>
    <s v="EU-Italy"/>
    <s v="LL"/>
    <x v="0"/>
    <n v="622.66890999999998"/>
    <x v="0"/>
  </r>
  <r>
    <x v="15"/>
    <s v="EU-Italy"/>
    <s v="LL"/>
    <x v="0"/>
    <n v="907.38449000000003"/>
    <x v="0"/>
  </r>
  <r>
    <x v="6"/>
    <s v="EU-Italy"/>
    <s v="LL"/>
    <x v="0"/>
    <n v="534.95600999999999"/>
    <x v="0"/>
  </r>
  <r>
    <x v="7"/>
    <s v="Japan"/>
    <s v="LL"/>
    <x v="0"/>
    <n v="0"/>
    <x v="0"/>
  </r>
  <r>
    <x v="16"/>
    <s v="Japan"/>
    <s v="LL"/>
    <x v="0"/>
    <n v="0"/>
    <x v="0"/>
  </r>
  <r>
    <x v="8"/>
    <s v="Japan"/>
    <s v="LL"/>
    <x v="0"/>
    <n v="0"/>
    <x v="0"/>
  </r>
  <r>
    <x v="0"/>
    <s v="Japan"/>
    <s v="LL"/>
    <x v="0"/>
    <n v="0"/>
    <x v="0"/>
  </r>
  <r>
    <x v="1"/>
    <s v="Japan"/>
    <s v="LL"/>
    <x v="0"/>
    <n v="0"/>
    <x v="0"/>
  </r>
  <r>
    <x v="2"/>
    <s v="Japan"/>
    <s v="LL"/>
    <x v="0"/>
    <n v="0"/>
    <x v="0"/>
  </r>
  <r>
    <x v="5"/>
    <s v="Libya"/>
    <s v="LL"/>
    <x v="0"/>
    <n v="0"/>
    <x v="1"/>
  </r>
  <r>
    <x v="6"/>
    <s v="Libya"/>
    <s v="LL"/>
    <x v="0"/>
    <n v="0"/>
    <x v="1"/>
  </r>
  <r>
    <x v="7"/>
    <s v="Libya"/>
    <s v="LL"/>
    <x v="0"/>
    <n v="0"/>
    <x v="1"/>
  </r>
  <r>
    <x v="16"/>
    <s v="Libya"/>
    <s v="LL"/>
    <x v="0"/>
    <n v="0"/>
    <x v="1"/>
  </r>
  <r>
    <x v="8"/>
    <s v="Libya"/>
    <s v="LL"/>
    <x v="0"/>
    <n v="0"/>
    <x v="1"/>
  </r>
  <r>
    <x v="0"/>
    <s v="Libya"/>
    <s v="LL"/>
    <x v="0"/>
    <n v="0"/>
    <x v="1"/>
  </r>
  <r>
    <x v="9"/>
    <s v="Maroc"/>
    <s v="LL"/>
    <x v="0"/>
    <n v="343.34987999999998"/>
    <x v="0"/>
  </r>
  <r>
    <x v="10"/>
    <s v="Maroc"/>
    <s v="LL"/>
    <x v="0"/>
    <n v="278.18858999999998"/>
    <x v="0"/>
  </r>
  <r>
    <x v="11"/>
    <s v="Maroc"/>
    <s v="LL"/>
    <x v="0"/>
    <n v="300.74441999999999"/>
    <x v="0"/>
  </r>
  <r>
    <x v="4"/>
    <s v="Maroc"/>
    <s v="LL"/>
    <x v="0"/>
    <n v="160.39703"/>
    <x v="0"/>
  </r>
  <r>
    <x v="12"/>
    <s v="Maroc"/>
    <s v="LL"/>
    <x v="0"/>
    <n v="200.99752000000001"/>
    <x v="0"/>
  </r>
  <r>
    <x v="13"/>
    <s v="Maroc"/>
    <s v="LL"/>
    <x v="0"/>
    <n v="192.97766999999999"/>
    <x v="0"/>
  </r>
  <r>
    <x v="3"/>
    <s v="Maroc"/>
    <s v="LL"/>
    <x v="0"/>
    <n v="197.88937000000001"/>
    <x v="0"/>
  </r>
  <r>
    <x v="5"/>
    <s v="Maroc"/>
    <s v="LL"/>
    <x v="0"/>
    <n v="123.46241000000001"/>
    <x v="0"/>
  </r>
  <r>
    <x v="14"/>
    <s v="Maroc"/>
    <s v="LL"/>
    <x v="0"/>
    <n v="285.26909000000001"/>
    <x v="0"/>
  </r>
  <r>
    <x v="15"/>
    <s v="Maroc"/>
    <s v="LL"/>
    <x v="0"/>
    <n v="350.2629"/>
    <x v="0"/>
  </r>
  <r>
    <x v="6"/>
    <s v="Maroc"/>
    <s v="LL"/>
    <x v="0"/>
    <n v="354.81632000000002"/>
    <x v="0"/>
  </r>
  <r>
    <x v="7"/>
    <s v="Maroc"/>
    <s v="LL"/>
    <x v="0"/>
    <n v="0"/>
    <x v="0"/>
  </r>
  <r>
    <x v="16"/>
    <s v="Maroc"/>
    <s v="LL"/>
    <x v="0"/>
    <n v="0"/>
    <x v="0"/>
  </r>
  <r>
    <x v="8"/>
    <s v="Maroc"/>
    <s v="LL"/>
    <x v="0"/>
    <n v="0"/>
    <x v="0"/>
  </r>
  <r>
    <x v="0"/>
    <s v="Maroc"/>
    <s v="LL"/>
    <x v="0"/>
    <n v="0"/>
    <x v="0"/>
  </r>
  <r>
    <x v="2"/>
    <s v="Maroc"/>
    <s v="LL"/>
    <x v="0"/>
    <n v="0"/>
    <x v="0"/>
  </r>
  <r>
    <x v="9"/>
    <s v="Tunisie"/>
    <s v="LL"/>
    <x v="0"/>
    <n v="220.91741999999999"/>
    <x v="0"/>
  </r>
  <r>
    <x v="10"/>
    <s v="Tunisie"/>
    <s v="LL"/>
    <x v="0"/>
    <n v="221.13593"/>
    <x v="0"/>
  </r>
  <r>
    <x v="11"/>
    <s v="Tunisie"/>
    <s v="LL"/>
    <x v="0"/>
    <n v="222.00998999999999"/>
    <x v="0"/>
  </r>
  <r>
    <x v="4"/>
    <s v="Tunisie"/>
    <s v="LL"/>
    <x v="0"/>
    <n v="227.25432000000001"/>
    <x v="0"/>
  </r>
  <r>
    <x v="12"/>
    <s v="Tunisie"/>
    <s v="LL"/>
    <x v="0"/>
    <n v="226.81729000000001"/>
    <x v="0"/>
  </r>
  <r>
    <x v="13"/>
    <s v="Tunisie"/>
    <s v="LL"/>
    <x v="0"/>
    <n v="226.38025999999999"/>
    <x v="0"/>
  </r>
  <r>
    <x v="3"/>
    <s v="Tunisie"/>
    <s v="LL"/>
    <x v="0"/>
    <n v="271.88983000000002"/>
    <x v="0"/>
  </r>
  <r>
    <x v="5"/>
    <s v="Tunisie"/>
    <s v="LL"/>
    <x v="0"/>
    <n v="272.94571000000002"/>
    <x v="0"/>
  </r>
  <r>
    <x v="14"/>
    <s v="Tunisie"/>
    <s v="LL"/>
    <x v="0"/>
    <n v="265.82166999999998"/>
    <x v="0"/>
  </r>
  <r>
    <x v="15"/>
    <s v="Tunisie"/>
    <s v="LL"/>
    <x v="0"/>
    <n v="374.29800999999998"/>
    <x v="0"/>
  </r>
  <r>
    <x v="6"/>
    <s v="Tunisie"/>
    <s v="LL"/>
    <x v="0"/>
    <n v="363.50337999999999"/>
    <x v="0"/>
  </r>
  <r>
    <x v="4"/>
    <s v="Algerie"/>
    <s v="PS"/>
    <x v="0"/>
    <n v="0"/>
    <x v="0"/>
  </r>
  <r>
    <x v="16"/>
    <s v="Algerie"/>
    <s v="PS"/>
    <x v="0"/>
    <n v="0"/>
    <x v="0"/>
  </r>
  <r>
    <x v="2"/>
    <s v="EU-Croatia"/>
    <s v="PS"/>
    <x v="0"/>
    <n v="2.5999999999999999E-2"/>
    <x v="0"/>
  </r>
  <r>
    <x v="3"/>
    <s v="Maroc"/>
    <s v="PS"/>
    <x v="0"/>
    <n v="0"/>
    <x v="0"/>
  </r>
  <r>
    <x v="6"/>
    <s v="EU-España"/>
    <s v="TP"/>
    <x v="0"/>
    <n v="0"/>
    <x v="0"/>
  </r>
  <r>
    <x v="8"/>
    <s v="EU-España"/>
    <s v="TP"/>
    <x v="0"/>
    <n v="0"/>
    <x v="0"/>
  </r>
  <r>
    <x v="0"/>
    <s v="EU-France"/>
    <s v="TP"/>
    <x v="0"/>
    <n v="0"/>
    <x v="0"/>
  </r>
  <r>
    <x v="1"/>
    <s v="EU-France"/>
    <s v="TP"/>
    <x v="0"/>
    <n v="0"/>
    <x v="0"/>
  </r>
  <r>
    <x v="2"/>
    <s v="EU-France"/>
    <s v="TP"/>
    <x v="0"/>
    <n v="0"/>
    <x v="0"/>
  </r>
  <r>
    <x v="3"/>
    <s v="Maroc"/>
    <s v="TP"/>
    <x v="0"/>
    <n v="0"/>
    <x v="0"/>
  </r>
  <r>
    <x v="0"/>
    <s v="EU-France"/>
    <s v="TR"/>
    <x v="0"/>
    <n v="0"/>
    <x v="0"/>
  </r>
  <r>
    <x v="1"/>
    <s v="EU-France"/>
    <s v="TR"/>
    <x v="0"/>
    <n v="0"/>
    <x v="0"/>
  </r>
  <r>
    <x v="2"/>
    <s v="EU-France"/>
    <s v="TR"/>
    <x v="0"/>
    <n v="0"/>
    <x v="0"/>
  </r>
  <r>
    <x v="4"/>
    <s v="Algerie"/>
    <s v="TW"/>
    <x v="0"/>
    <n v="0"/>
    <x v="0"/>
  </r>
  <r>
    <x v="16"/>
    <s v="Algerie"/>
    <s v="TW"/>
    <x v="0"/>
    <n v="0"/>
    <x v="0"/>
  </r>
  <r>
    <x v="0"/>
    <s v="EU-France"/>
    <s v="TW"/>
    <x v="0"/>
    <n v="0"/>
    <x v="0"/>
  </r>
  <r>
    <x v="1"/>
    <s v="EU-France"/>
    <s v="TW"/>
    <x v="0"/>
    <n v="0"/>
    <x v="0"/>
  </r>
  <r>
    <x v="2"/>
    <s v="EU-France"/>
    <s v="TW"/>
    <x v="0"/>
    <n v="0"/>
    <x v="0"/>
  </r>
  <r>
    <x v="0"/>
    <s v="EU-France"/>
    <s v="UN"/>
    <x v="0"/>
    <n v="0"/>
    <x v="0"/>
  </r>
  <r>
    <x v="1"/>
    <s v="EU-France"/>
    <s v="UN"/>
    <x v="0"/>
    <n v="0"/>
    <x v="0"/>
  </r>
  <r>
    <x v="2"/>
    <s v="EU-France"/>
    <s v="UN"/>
    <x v="0"/>
    <n v="0"/>
    <x v="0"/>
  </r>
  <r>
    <x v="3"/>
    <s v="EU-France"/>
    <s v="BB"/>
    <x v="1"/>
    <n v="0.35199999999999998"/>
    <x v="0"/>
  </r>
  <r>
    <x v="21"/>
    <s v="EU-España"/>
    <s v="GN"/>
    <x v="1"/>
    <n v="87"/>
    <x v="0"/>
  </r>
  <r>
    <x v="22"/>
    <s v="EU-España"/>
    <s v="GN"/>
    <x v="1"/>
    <n v="85"/>
    <x v="0"/>
  </r>
  <r>
    <x v="23"/>
    <s v="EU-España"/>
    <s v="GN"/>
    <x v="1"/>
    <n v="39"/>
    <x v="0"/>
  </r>
  <r>
    <x v="24"/>
    <s v="EU-España"/>
    <s v="GN"/>
    <x v="1"/>
    <n v="32"/>
    <x v="0"/>
  </r>
  <r>
    <x v="16"/>
    <s v="EU-España"/>
    <s v="GN"/>
    <x v="1"/>
    <n v="0"/>
    <x v="0"/>
  </r>
  <r>
    <x v="0"/>
    <s v="EU-España"/>
    <s v="GN"/>
    <x v="1"/>
    <n v="6.7500000000000004E-2"/>
    <x v="0"/>
  </r>
  <r>
    <x v="1"/>
    <s v="EU-España"/>
    <s v="GN"/>
    <x v="1"/>
    <n v="3.3750000000000002E-2"/>
    <x v="0"/>
  </r>
  <r>
    <x v="25"/>
    <s v="Türkiye"/>
    <s v="GN"/>
    <x v="1"/>
    <n v="250.4"/>
    <x v="0"/>
  </r>
  <r>
    <x v="26"/>
    <s v="Türkiye"/>
    <s v="GN"/>
    <x v="1"/>
    <n v="500"/>
    <x v="0"/>
  </r>
  <r>
    <x v="27"/>
    <s v="Türkiye"/>
    <s v="GN"/>
    <x v="1"/>
    <n v="200"/>
    <x v="0"/>
  </r>
  <r>
    <x v="28"/>
    <s v="Türkiye"/>
    <s v="GN"/>
    <x v="1"/>
    <n v="112"/>
    <x v="0"/>
  </r>
  <r>
    <x v="29"/>
    <s v="Türkiye"/>
    <s v="GN"/>
    <x v="1"/>
    <n v="112"/>
    <x v="0"/>
  </r>
  <r>
    <x v="30"/>
    <s v="Türkiye"/>
    <s v="GN"/>
    <x v="1"/>
    <n v="112"/>
    <x v="0"/>
  </r>
  <r>
    <x v="31"/>
    <s v="Türkiye"/>
    <s v="GN"/>
    <x v="1"/>
    <n v="224"/>
    <x v="0"/>
  </r>
  <r>
    <x v="32"/>
    <s v="Türkiye"/>
    <s v="GN"/>
    <x v="1"/>
    <n v="112"/>
    <x v="0"/>
  </r>
  <r>
    <x v="33"/>
    <s v="Türkiye"/>
    <s v="GN"/>
    <x v="1"/>
    <n v="112"/>
    <x v="0"/>
  </r>
  <r>
    <x v="34"/>
    <s v="Türkiye"/>
    <s v="GN"/>
    <x v="1"/>
    <n v="336"/>
    <x v="0"/>
  </r>
  <r>
    <x v="35"/>
    <s v="Türkiye"/>
    <s v="GN"/>
    <x v="1"/>
    <n v="111"/>
    <x v="0"/>
  </r>
  <r>
    <x v="36"/>
    <s v="Türkiye"/>
    <s v="GN"/>
    <x v="1"/>
    <n v="115"/>
    <x v="0"/>
  </r>
  <r>
    <x v="37"/>
    <s v="Türkiye"/>
    <s v="GN"/>
    <x v="1"/>
    <n v="133"/>
    <x v="0"/>
  </r>
  <r>
    <x v="38"/>
    <s v="Türkiye"/>
    <s v="GN"/>
    <x v="1"/>
    <n v="99"/>
    <x v="0"/>
  </r>
  <r>
    <x v="39"/>
    <s v="Türkiye"/>
    <s v="GN"/>
    <x v="1"/>
    <n v="76"/>
    <x v="0"/>
  </r>
  <r>
    <x v="40"/>
    <s v="Türkiye"/>
    <s v="GN"/>
    <x v="1"/>
    <n v="60"/>
    <x v="0"/>
  </r>
  <r>
    <x v="41"/>
    <s v="Türkiye"/>
    <s v="GN"/>
    <x v="1"/>
    <n v="59"/>
    <x v="0"/>
  </r>
  <r>
    <x v="42"/>
    <s v="Türkiye"/>
    <s v="GN"/>
    <x v="1"/>
    <n v="15"/>
    <x v="0"/>
  </r>
  <r>
    <x v="43"/>
    <s v="Türkiye"/>
    <s v="GN"/>
    <x v="1"/>
    <n v="10"/>
    <x v="0"/>
  </r>
  <r>
    <x v="44"/>
    <s v="Türkiye"/>
    <s v="GN"/>
    <x v="1"/>
    <n v="7"/>
    <x v="0"/>
  </r>
  <r>
    <x v="45"/>
    <s v="Türkiye"/>
    <s v="GN"/>
    <x v="1"/>
    <n v="34"/>
    <x v="0"/>
  </r>
  <r>
    <x v="46"/>
    <s v="Türkiye"/>
    <s v="GN"/>
    <x v="1"/>
    <n v="20"/>
    <x v="0"/>
  </r>
  <r>
    <x v="47"/>
    <s v="Türkiye"/>
    <s v="GN"/>
    <x v="1"/>
    <n v="44"/>
    <x v="0"/>
  </r>
  <r>
    <x v="48"/>
    <s v="Türkiye"/>
    <s v="GN"/>
    <x v="1"/>
    <n v="13"/>
    <x v="0"/>
  </r>
  <r>
    <x v="49"/>
    <s v="Türkiye"/>
    <s v="GN"/>
    <x v="1"/>
    <n v="70"/>
    <x v="0"/>
  </r>
  <r>
    <x v="50"/>
    <s v="Türkiye"/>
    <s v="GN"/>
    <x v="1"/>
    <n v="40"/>
    <x v="0"/>
  </r>
  <r>
    <x v="51"/>
    <s v="Türkiye"/>
    <s v="GN"/>
    <x v="1"/>
    <n v="216"/>
    <x v="0"/>
  </r>
  <r>
    <x v="52"/>
    <s v="Türkiye"/>
    <s v="GN"/>
    <x v="1"/>
    <n v="95"/>
    <x v="0"/>
  </r>
  <r>
    <x v="53"/>
    <s v="Türkiye"/>
    <s v="GN"/>
    <x v="1"/>
    <n v="190"/>
    <x v="0"/>
  </r>
  <r>
    <x v="54"/>
    <s v="Türkiye"/>
    <s v="GN"/>
    <x v="1"/>
    <n v="226"/>
    <x v="0"/>
  </r>
  <r>
    <x v="55"/>
    <s v="Türkiye"/>
    <s v="GN"/>
    <x v="1"/>
    <n v="557"/>
    <x v="0"/>
  </r>
  <r>
    <x v="56"/>
    <s v="Türkiye"/>
    <s v="GN"/>
    <x v="1"/>
    <n v="589"/>
    <x v="0"/>
  </r>
  <r>
    <x v="21"/>
    <s v="Türkiye"/>
    <s v="GN"/>
    <x v="1"/>
    <n v="209"/>
    <x v="0"/>
  </r>
  <r>
    <x v="22"/>
    <s v="Türkiye"/>
    <s v="GN"/>
    <x v="1"/>
    <n v="243"/>
    <x v="0"/>
  </r>
  <r>
    <x v="23"/>
    <s v="Türkiye"/>
    <s v="GN"/>
    <x v="1"/>
    <n v="100"/>
    <x v="0"/>
  </r>
  <r>
    <x v="24"/>
    <s v="Türkiye"/>
    <s v="GN"/>
    <x v="1"/>
    <n v="136"/>
    <x v="0"/>
  </r>
  <r>
    <x v="57"/>
    <s v="Türkiye"/>
    <s v="GN"/>
    <x v="1"/>
    <n v="292"/>
    <x v="0"/>
  </r>
  <r>
    <x v="58"/>
    <s v="Türkiye"/>
    <s v="GN"/>
    <x v="1"/>
    <n v="533"/>
    <x v="0"/>
  </r>
  <r>
    <x v="59"/>
    <s v="Türkiye"/>
    <s v="GN"/>
    <x v="1"/>
    <n v="306"/>
    <x v="0"/>
  </r>
  <r>
    <x v="60"/>
    <s v="Türkiye"/>
    <s v="GN"/>
    <x v="1"/>
    <n v="320"/>
    <x v="0"/>
  </r>
  <r>
    <x v="61"/>
    <s v="Türkiye"/>
    <s v="GN"/>
    <x v="1"/>
    <n v="350"/>
    <x v="0"/>
  </r>
  <r>
    <x v="62"/>
    <s v="Türkiye"/>
    <s v="GN"/>
    <x v="1"/>
    <n v="450"/>
    <x v="0"/>
  </r>
  <r>
    <x v="63"/>
    <s v="Türkiye"/>
    <s v="GN"/>
    <x v="1"/>
    <n v="230"/>
    <x v="0"/>
  </r>
  <r>
    <x v="64"/>
    <s v="Türkiye"/>
    <s v="GN"/>
    <x v="1"/>
    <n v="370"/>
    <x v="0"/>
  </r>
  <r>
    <x v="65"/>
    <s v="Türkiye"/>
    <s v="GN"/>
    <x v="1"/>
    <n v="360"/>
    <x v="0"/>
  </r>
  <r>
    <x v="66"/>
    <s v="Türkiye"/>
    <s v="GN"/>
    <x v="1"/>
    <n v="300"/>
    <x v="0"/>
  </r>
  <r>
    <x v="67"/>
    <s v="Türkiye"/>
    <s v="GN"/>
    <x v="1"/>
    <n v="274"/>
    <x v="0"/>
  </r>
  <r>
    <x v="17"/>
    <s v="Türkiye"/>
    <s v="GN"/>
    <x v="1"/>
    <n v="317"/>
    <x v="0"/>
  </r>
  <r>
    <x v="18"/>
    <s v="Türkiye"/>
    <s v="GN"/>
    <x v="1"/>
    <n v="341"/>
    <x v="0"/>
  </r>
  <r>
    <x v="19"/>
    <s v="Türkiye"/>
    <s v="GN"/>
    <x v="1"/>
    <n v="337"/>
    <x v="0"/>
  </r>
  <r>
    <x v="20"/>
    <s v="Türkiye"/>
    <s v="GN"/>
    <x v="1"/>
    <n v="352"/>
    <x v="0"/>
  </r>
  <r>
    <x v="22"/>
    <s v="Algerie"/>
    <s v="GN"/>
    <x v="1"/>
    <n v="539"/>
    <x v="0"/>
  </r>
  <r>
    <x v="23"/>
    <s v="Algerie"/>
    <s v="GN"/>
    <x v="1"/>
    <n v="389"/>
    <x v="0"/>
  </r>
  <r>
    <x v="24"/>
    <s v="Algerie"/>
    <s v="GN"/>
    <x v="1"/>
    <n v="389"/>
    <x v="0"/>
  </r>
  <r>
    <x v="57"/>
    <s v="Algerie"/>
    <s v="GN"/>
    <x v="1"/>
    <n v="389"/>
    <x v="0"/>
  </r>
  <r>
    <x v="58"/>
    <s v="Algerie"/>
    <s v="GN"/>
    <x v="1"/>
    <n v="415"/>
    <x v="0"/>
  </r>
  <r>
    <x v="59"/>
    <s v="Algerie"/>
    <s v="GN"/>
    <x v="1"/>
    <n v="560"/>
    <x v="0"/>
  </r>
  <r>
    <x v="60"/>
    <s v="Algerie"/>
    <s v="GN"/>
    <x v="1"/>
    <n v="560"/>
    <x v="0"/>
  </r>
  <r>
    <x v="61"/>
    <s v="Algerie"/>
    <s v="GN"/>
    <x v="1"/>
    <n v="560"/>
    <x v="0"/>
  </r>
  <r>
    <x v="62"/>
    <s v="Algerie"/>
    <s v="GN"/>
    <x v="1"/>
    <n v="590"/>
    <x v="0"/>
  </r>
  <r>
    <x v="63"/>
    <s v="Algerie"/>
    <s v="GN"/>
    <x v="1"/>
    <n v="531"/>
    <x v="0"/>
  </r>
  <r>
    <x v="64"/>
    <s v="Algerie"/>
    <s v="GN"/>
    <x v="1"/>
    <n v="599"/>
    <x v="0"/>
  </r>
  <r>
    <x v="65"/>
    <s v="Algerie"/>
    <s v="GN"/>
    <x v="1"/>
    <n v="642"/>
    <x v="0"/>
  </r>
  <r>
    <x v="66"/>
    <s v="Algerie"/>
    <s v="GN"/>
    <x v="1"/>
    <n v="467"/>
    <x v="0"/>
  </r>
  <r>
    <x v="67"/>
    <s v="Algerie"/>
    <s v="GN"/>
    <x v="1"/>
    <n v="427"/>
    <x v="0"/>
  </r>
  <r>
    <x v="17"/>
    <s v="Algerie"/>
    <s v="GN"/>
    <x v="1"/>
    <n v="233"/>
    <x v="0"/>
  </r>
  <r>
    <x v="18"/>
    <s v="Algerie"/>
    <s v="GN"/>
    <x v="1"/>
    <n v="311"/>
    <x v="0"/>
  </r>
  <r>
    <x v="19"/>
    <s v="Algerie"/>
    <s v="GN"/>
    <x v="1"/>
    <n v="87"/>
    <x v="0"/>
  </r>
  <r>
    <x v="20"/>
    <s v="Algerie"/>
    <s v="GN"/>
    <x v="1"/>
    <n v="108"/>
    <x v="0"/>
  </r>
  <r>
    <x v="4"/>
    <s v="EU-Croatia"/>
    <s v="GN"/>
    <x v="1"/>
    <n v="5.1999999999999998E-2"/>
    <x v="0"/>
  </r>
  <r>
    <x v="12"/>
    <s v="EU-Croatia"/>
    <s v="GN"/>
    <x v="1"/>
    <n v="0"/>
    <x v="0"/>
  </r>
  <r>
    <x v="13"/>
    <s v="EU-Croatia"/>
    <s v="GN"/>
    <x v="1"/>
    <n v="6.4000000000000001E-2"/>
    <x v="0"/>
  </r>
  <r>
    <x v="3"/>
    <s v="EU-Croatia"/>
    <s v="GN"/>
    <x v="1"/>
    <n v="3.0800000000000001E-2"/>
    <x v="0"/>
  </r>
  <r>
    <x v="5"/>
    <s v="EU-Croatia"/>
    <s v="GN"/>
    <x v="1"/>
    <n v="3.7999999999999999E-2"/>
    <x v="0"/>
  </r>
  <r>
    <x v="14"/>
    <s v="EU-Croatia"/>
    <s v="GN"/>
    <x v="1"/>
    <n v="8.7999999999999995E-2"/>
    <x v="0"/>
  </r>
  <r>
    <x v="7"/>
    <s v="EU-Croatia"/>
    <s v="GN"/>
    <x v="1"/>
    <n v="1.6E-2"/>
    <x v="0"/>
  </r>
  <r>
    <x v="10"/>
    <s v="EU-France"/>
    <s v="GN"/>
    <x v="1"/>
    <n v="0.18345"/>
    <x v="0"/>
  </r>
  <r>
    <x v="11"/>
    <s v="EU-France"/>
    <s v="GN"/>
    <x v="1"/>
    <n v="0.52885000000000004"/>
    <x v="0"/>
  </r>
  <r>
    <x v="4"/>
    <s v="EU-France"/>
    <s v="GN"/>
    <x v="1"/>
    <n v="1.0798000000000001"/>
    <x v="0"/>
  </r>
  <r>
    <x v="12"/>
    <s v="EU-France"/>
    <s v="GN"/>
    <x v="1"/>
    <n v="0.14554"/>
    <x v="0"/>
  </r>
  <r>
    <x v="13"/>
    <s v="EU-France"/>
    <s v="GN"/>
    <x v="1"/>
    <n v="1.5778000000000001"/>
    <x v="0"/>
  </r>
  <r>
    <x v="3"/>
    <s v="EU-France"/>
    <s v="GN"/>
    <x v="1"/>
    <n v="2.65625"/>
    <x v="0"/>
  </r>
  <r>
    <x v="5"/>
    <s v="EU-France"/>
    <s v="GN"/>
    <x v="1"/>
    <n v="1.1408"/>
    <x v="0"/>
  </r>
  <r>
    <x v="14"/>
    <s v="EU-France"/>
    <s v="GN"/>
    <x v="1"/>
    <n v="0.2747"/>
    <x v="0"/>
  </r>
  <r>
    <x v="6"/>
    <s v="EU-France"/>
    <s v="GN"/>
    <x v="1"/>
    <n v="0.20899999999999999"/>
    <x v="0"/>
  </r>
  <r>
    <x v="7"/>
    <s v="EU-France"/>
    <s v="GN"/>
    <x v="1"/>
    <n v="0.11605"/>
    <x v="0"/>
  </r>
  <r>
    <x v="16"/>
    <s v="EU-France"/>
    <s v="GN"/>
    <x v="1"/>
    <n v="0.70694000000000001"/>
    <x v="0"/>
  </r>
  <r>
    <x v="8"/>
    <s v="EU-France"/>
    <s v="GN"/>
    <x v="1"/>
    <n v="1.014337"/>
    <x v="0"/>
  </r>
  <r>
    <x v="0"/>
    <s v="EU-France"/>
    <s v="GN"/>
    <x v="1"/>
    <n v="0.25532899999999997"/>
    <x v="0"/>
  </r>
  <r>
    <x v="1"/>
    <s v="EU-France"/>
    <s v="GN"/>
    <x v="1"/>
    <n v="0.14758499999999999"/>
    <x v="0"/>
  </r>
  <r>
    <x v="2"/>
    <s v="EU-France"/>
    <s v="GN"/>
    <x v="1"/>
    <n v="6.2576000000000007E-2"/>
    <x v="0"/>
  </r>
  <r>
    <x v="40"/>
    <s v="EU-Italy"/>
    <s v="GN"/>
    <x v="1"/>
    <n v="5187.3999999999996"/>
    <x v="0"/>
  </r>
  <r>
    <x v="41"/>
    <s v="EU-Italy"/>
    <s v="GN"/>
    <x v="1"/>
    <n v="3925.6"/>
    <x v="0"/>
  </r>
  <r>
    <x v="42"/>
    <s v="EU-Italy"/>
    <s v="GN"/>
    <x v="1"/>
    <n v="4669.1614"/>
    <x v="0"/>
  </r>
  <r>
    <x v="43"/>
    <s v="EU-Italy"/>
    <s v="GN"/>
    <x v="1"/>
    <n v="4208.5042999999996"/>
    <x v="0"/>
  </r>
  <r>
    <x v="44"/>
    <s v="EU-Italy"/>
    <s v="GN"/>
    <x v="1"/>
    <n v="4907.1428999999998"/>
    <x v="0"/>
  </r>
  <r>
    <x v="45"/>
    <s v="EU-Italy"/>
    <s v="GN"/>
    <x v="1"/>
    <n v="4757.1428999999998"/>
    <x v="0"/>
  </r>
  <r>
    <x v="46"/>
    <s v="EU-Italy"/>
    <s v="GN"/>
    <x v="1"/>
    <n v="5357.1428999999998"/>
    <x v="0"/>
  </r>
  <r>
    <x v="47"/>
    <s v="EU-Italy"/>
    <s v="GN"/>
    <x v="1"/>
    <n v="4935.7142999999996"/>
    <x v="0"/>
  </r>
  <r>
    <x v="48"/>
    <s v="EU-Italy"/>
    <s v="GN"/>
    <x v="1"/>
    <n v="5202.8571000000002"/>
    <x v="0"/>
  </r>
  <r>
    <x v="49"/>
    <s v="EU-Italy"/>
    <s v="GN"/>
    <x v="1"/>
    <n v="4802.8571000000002"/>
    <x v="0"/>
  </r>
  <r>
    <x v="50"/>
    <s v="EU-Italy"/>
    <s v="GN"/>
    <x v="1"/>
    <n v="3690"/>
    <x v="0"/>
  </r>
  <r>
    <x v="51"/>
    <s v="EU-Italy"/>
    <s v="GN"/>
    <x v="1"/>
    <n v="3800"/>
    <x v="0"/>
  </r>
  <r>
    <x v="52"/>
    <s v="EU-Italy"/>
    <s v="GN"/>
    <x v="1"/>
    <n v="6344.3751000000002"/>
    <x v="0"/>
  </r>
  <r>
    <x v="53"/>
    <s v="EU-Italy"/>
    <s v="GN"/>
    <x v="1"/>
    <n v="7395.4611000000004"/>
    <x v="0"/>
  </r>
  <r>
    <x v="54"/>
    <s v="EU-Italy"/>
    <s v="GN"/>
    <x v="1"/>
    <n v="7661.1068999999998"/>
    <x v="0"/>
  </r>
  <r>
    <x v="55"/>
    <s v="EU-Italy"/>
    <s v="GN"/>
    <x v="1"/>
    <n v="8400.2419000000009"/>
    <x v="0"/>
  </r>
  <r>
    <x v="56"/>
    <s v="EU-Italy"/>
    <s v="GN"/>
    <x v="1"/>
    <n v="8779.1852999999992"/>
    <x v="0"/>
  </r>
  <r>
    <x v="21"/>
    <s v="EU-Italy"/>
    <s v="GN"/>
    <x v="1"/>
    <n v="8864.8991000000005"/>
    <x v="0"/>
  </r>
  <r>
    <x v="22"/>
    <s v="EU-Italy"/>
    <s v="GN"/>
    <x v="1"/>
    <n v="6105.2088000000003"/>
    <x v="0"/>
  </r>
  <r>
    <x v="23"/>
    <s v="EU-Italy"/>
    <s v="GN"/>
    <x v="1"/>
    <n v="5698.3644000000004"/>
    <x v="0"/>
  </r>
  <r>
    <x v="24"/>
    <s v="EU-Italy"/>
    <s v="GN"/>
    <x v="1"/>
    <n v="4077"/>
    <x v="0"/>
  </r>
  <r>
    <x v="57"/>
    <s v="EU-Italy"/>
    <s v="GN"/>
    <x v="1"/>
    <n v="3070"/>
    <x v="0"/>
  </r>
  <r>
    <x v="58"/>
    <s v="EU-Italy"/>
    <s v="GN"/>
    <x v="1"/>
    <n v="3921"/>
    <x v="0"/>
  </r>
  <r>
    <x v="59"/>
    <s v="EU-Italy"/>
    <s v="GN"/>
    <x v="1"/>
    <n v="4264"/>
    <x v="0"/>
  </r>
  <r>
    <x v="60"/>
    <s v="EU-Italy"/>
    <s v="GN"/>
    <x v="1"/>
    <n v="2657"/>
    <x v="0"/>
  </r>
  <r>
    <x v="61"/>
    <s v="EU-Italy"/>
    <s v="GN"/>
    <x v="1"/>
    <n v="3632"/>
    <x v="0"/>
  </r>
  <r>
    <x v="62"/>
    <s v="EU-Italy"/>
    <s v="GN"/>
    <x v="1"/>
    <n v="3632"/>
    <x v="0"/>
  </r>
  <r>
    <x v="63"/>
    <s v="EU-Italy"/>
    <s v="GN"/>
    <x v="1"/>
    <n v="3632"/>
    <x v="0"/>
  </r>
  <r>
    <x v="64"/>
    <s v="EU-Italy"/>
    <s v="GN"/>
    <x v="1"/>
    <n v="4863"/>
    <x v="0"/>
  </r>
  <r>
    <x v="65"/>
    <s v="EU-Italy"/>
    <s v="GN"/>
    <x v="1"/>
    <n v="4152"/>
    <x v="0"/>
  </r>
  <r>
    <x v="66"/>
    <s v="EU-Italy"/>
    <s v="GN"/>
    <x v="1"/>
    <n v="1698"/>
    <x v="0"/>
  </r>
  <r>
    <x v="67"/>
    <s v="EU-Italy"/>
    <s v="GN"/>
    <x v="1"/>
    <n v="2540.4"/>
    <x v="0"/>
  </r>
  <r>
    <x v="17"/>
    <s v="EU-Italy"/>
    <s v="GN"/>
    <x v="1"/>
    <n v="1482.57"/>
    <x v="0"/>
  </r>
  <r>
    <x v="18"/>
    <s v="EU-Italy"/>
    <s v="GN"/>
    <x v="1"/>
    <n v="1890.83"/>
    <x v="0"/>
  </r>
  <r>
    <x v="19"/>
    <s v="EU-Italy"/>
    <s v="GN"/>
    <x v="1"/>
    <n v="2373.39"/>
    <x v="0"/>
  </r>
  <r>
    <x v="20"/>
    <s v="EU-Italy"/>
    <s v="GN"/>
    <x v="1"/>
    <n v="1948.03"/>
    <x v="0"/>
  </r>
  <r>
    <x v="5"/>
    <s v="EU-Italy"/>
    <s v="GN"/>
    <x v="1"/>
    <n v="0.24764"/>
    <x v="0"/>
  </r>
  <r>
    <x v="22"/>
    <s v="Maroc"/>
    <s v="GN"/>
    <x v="1"/>
    <n v="866"/>
    <x v="0"/>
  </r>
  <r>
    <x v="23"/>
    <s v="Maroc"/>
    <s v="GN"/>
    <x v="1"/>
    <n v="1186"/>
    <x v="0"/>
  </r>
  <r>
    <x v="24"/>
    <s v="Maroc"/>
    <s v="GN"/>
    <x v="1"/>
    <n v="1883"/>
    <x v="0"/>
  </r>
  <r>
    <x v="57"/>
    <s v="Maroc"/>
    <s v="GN"/>
    <x v="1"/>
    <n v="2068"/>
    <x v="0"/>
  </r>
  <r>
    <x v="58"/>
    <s v="Maroc"/>
    <s v="GN"/>
    <x v="1"/>
    <n v="2109"/>
    <x v="0"/>
  </r>
  <r>
    <x v="59"/>
    <s v="Maroc"/>
    <s v="GN"/>
    <x v="1"/>
    <n v="1518"/>
    <x v="0"/>
  </r>
  <r>
    <x v="60"/>
    <s v="Maroc"/>
    <s v="GN"/>
    <x v="1"/>
    <n v="2461"/>
    <x v="0"/>
  </r>
  <r>
    <x v="61"/>
    <s v="Maroc"/>
    <s v="GN"/>
    <x v="1"/>
    <n v="4653"/>
    <x v="0"/>
  </r>
  <r>
    <x v="62"/>
    <s v="Maroc"/>
    <s v="GN"/>
    <x v="1"/>
    <n v="2905"/>
    <x v="0"/>
  </r>
  <r>
    <x v="63"/>
    <s v="Maroc"/>
    <s v="GN"/>
    <x v="1"/>
    <n v="2979"/>
    <x v="0"/>
  </r>
  <r>
    <x v="64"/>
    <s v="Maroc"/>
    <s v="GN"/>
    <x v="1"/>
    <n v="2503"/>
    <x v="0"/>
  </r>
  <r>
    <x v="65"/>
    <s v="Maroc"/>
    <s v="GN"/>
    <x v="1"/>
    <n v="2266"/>
    <x v="0"/>
  </r>
  <r>
    <x v="66"/>
    <s v="Maroc"/>
    <s v="GN"/>
    <x v="1"/>
    <n v="2230"/>
    <x v="0"/>
  </r>
  <r>
    <x v="67"/>
    <s v="Maroc"/>
    <s v="GN"/>
    <x v="1"/>
    <n v="1629"/>
    <x v="0"/>
  </r>
  <r>
    <x v="17"/>
    <s v="Maroc"/>
    <s v="GN"/>
    <x v="1"/>
    <n v="1299"/>
    <x v="0"/>
  </r>
  <r>
    <x v="18"/>
    <s v="Maroc"/>
    <s v="GN"/>
    <x v="1"/>
    <n v="722"/>
    <x v="0"/>
  </r>
  <r>
    <x v="19"/>
    <s v="Maroc"/>
    <s v="GN"/>
    <x v="1"/>
    <n v="603"/>
    <x v="0"/>
  </r>
  <r>
    <x v="20"/>
    <s v="Maroc"/>
    <s v="GN"/>
    <x v="1"/>
    <n v="615"/>
    <x v="0"/>
  </r>
  <r>
    <x v="9"/>
    <s v="Maroc"/>
    <s v="GN"/>
    <x v="1"/>
    <n v="587"/>
    <x v="0"/>
  </r>
  <r>
    <x v="10"/>
    <s v="Maroc"/>
    <s v="GN"/>
    <x v="1"/>
    <n v="477"/>
    <x v="0"/>
  </r>
  <r>
    <x v="11"/>
    <s v="Maroc"/>
    <s v="GN"/>
    <x v="1"/>
    <n v="410"/>
    <x v="0"/>
  </r>
  <r>
    <x v="4"/>
    <s v="Maroc"/>
    <s v="GN"/>
    <x v="1"/>
    <n v="387"/>
    <x v="0"/>
  </r>
  <r>
    <x v="12"/>
    <s v="Maroc"/>
    <s v="GN"/>
    <x v="1"/>
    <n v="0"/>
    <x v="0"/>
  </r>
  <r>
    <x v="13"/>
    <s v="Maroc"/>
    <s v="GN"/>
    <x v="1"/>
    <n v="0"/>
    <x v="0"/>
  </r>
  <r>
    <x v="3"/>
    <s v="Maroc"/>
    <s v="GN"/>
    <x v="1"/>
    <n v="0"/>
    <x v="0"/>
  </r>
  <r>
    <x v="50"/>
    <s v="NEI (MED)"/>
    <s v="GN"/>
    <x v="1"/>
    <n v="0"/>
    <x v="0"/>
  </r>
  <r>
    <x v="51"/>
    <s v="NEI (MED)"/>
    <s v="GN"/>
    <x v="1"/>
    <n v="0"/>
    <x v="0"/>
  </r>
  <r>
    <x v="52"/>
    <s v="NEI (MED)"/>
    <s v="GN"/>
    <x v="1"/>
    <n v="219"/>
    <x v="0"/>
  </r>
  <r>
    <x v="53"/>
    <s v="NEI (MED)"/>
    <s v="GN"/>
    <x v="1"/>
    <n v="231"/>
    <x v="0"/>
  </r>
  <r>
    <x v="54"/>
    <s v="NEI (MED)"/>
    <s v="GN"/>
    <x v="1"/>
    <n v="243"/>
    <x v="0"/>
  </r>
  <r>
    <x v="55"/>
    <s v="NEI (MED)"/>
    <s v="GN"/>
    <x v="1"/>
    <n v="262"/>
    <x v="0"/>
  </r>
  <r>
    <x v="56"/>
    <s v="NEI (MED)"/>
    <s v="GN"/>
    <x v="1"/>
    <n v="277"/>
    <x v="0"/>
  </r>
  <r>
    <x v="21"/>
    <s v="NEI (MED)"/>
    <s v="GN"/>
    <x v="1"/>
    <n v="381"/>
    <x v="0"/>
  </r>
  <r>
    <x v="22"/>
    <s v="NEI (MED)"/>
    <s v="GN"/>
    <x v="1"/>
    <n v="442"/>
    <x v="0"/>
  </r>
  <r>
    <x v="23"/>
    <s v="NEI (MED)"/>
    <s v="GN"/>
    <x v="1"/>
    <n v="559"/>
    <x v="0"/>
  </r>
  <r>
    <x v="24"/>
    <s v="NEI (MED)"/>
    <s v="GN"/>
    <x v="1"/>
    <n v="559"/>
    <x v="0"/>
  </r>
  <r>
    <x v="53"/>
    <s v="EU-España"/>
    <s v="HL"/>
    <x v="1"/>
    <n v="1"/>
    <x v="0"/>
  </r>
  <r>
    <x v="17"/>
    <s v="Algerie"/>
    <s v="HL"/>
    <x v="1"/>
    <n v="112"/>
    <x v="0"/>
  </r>
  <r>
    <x v="18"/>
    <s v="Algerie"/>
    <s v="HL"/>
    <x v="1"/>
    <n v="175"/>
    <x v="0"/>
  </r>
  <r>
    <x v="19"/>
    <s v="Algerie"/>
    <s v="HL"/>
    <x v="1"/>
    <n v="72"/>
    <x v="0"/>
  </r>
  <r>
    <x v="20"/>
    <s v="Algerie"/>
    <s v="HL"/>
    <x v="1"/>
    <n v="0.59"/>
    <x v="0"/>
  </r>
  <r>
    <x v="9"/>
    <s v="EU-Croatia"/>
    <s v="HL"/>
    <x v="1"/>
    <n v="7.0000000000000007E-2"/>
    <x v="0"/>
  </r>
  <r>
    <x v="10"/>
    <s v="EU-Croatia"/>
    <s v="HL"/>
    <x v="1"/>
    <n v="0.41599999999999998"/>
    <x v="0"/>
  </r>
  <r>
    <x v="11"/>
    <s v="EU-Croatia"/>
    <s v="HL"/>
    <x v="1"/>
    <n v="1.29"/>
    <x v="0"/>
  </r>
  <r>
    <x v="4"/>
    <s v="EU-Croatia"/>
    <s v="HL"/>
    <x v="1"/>
    <n v="0.81899999999999995"/>
    <x v="0"/>
  </r>
  <r>
    <x v="12"/>
    <s v="EU-Croatia"/>
    <s v="HL"/>
    <x v="1"/>
    <n v="2.3849999999999998"/>
    <x v="0"/>
  </r>
  <r>
    <x v="13"/>
    <s v="EU-Croatia"/>
    <s v="HL"/>
    <x v="1"/>
    <n v="3.911"/>
    <x v="0"/>
  </r>
  <r>
    <x v="3"/>
    <s v="EU-Croatia"/>
    <s v="HL"/>
    <x v="1"/>
    <n v="3.2590499999999998"/>
    <x v="0"/>
  </r>
  <r>
    <x v="5"/>
    <s v="EU-Croatia"/>
    <s v="HL"/>
    <x v="1"/>
    <n v="4.7"/>
    <x v="0"/>
  </r>
  <r>
    <x v="14"/>
    <s v="EU-Croatia"/>
    <s v="HL"/>
    <x v="1"/>
    <n v="3.7175500000000001"/>
    <x v="0"/>
  </r>
  <r>
    <x v="15"/>
    <s v="EU-Croatia"/>
    <s v="HL"/>
    <x v="1"/>
    <n v="3.6669999999999998"/>
    <x v="0"/>
  </r>
  <r>
    <x v="6"/>
    <s v="EU-Croatia"/>
    <s v="HL"/>
    <x v="1"/>
    <n v="2.1806999999999999"/>
    <x v="0"/>
  </r>
  <r>
    <x v="7"/>
    <s v="EU-Croatia"/>
    <s v="HL"/>
    <x v="1"/>
    <n v="2.9538000000000002"/>
    <x v="0"/>
  </r>
  <r>
    <x v="16"/>
    <s v="EU-Croatia"/>
    <s v="HL"/>
    <x v="1"/>
    <n v="0.82698400000000005"/>
    <x v="0"/>
  </r>
  <r>
    <x v="8"/>
    <s v="EU-Croatia"/>
    <s v="HL"/>
    <x v="1"/>
    <n v="1.699244"/>
    <x v="0"/>
  </r>
  <r>
    <x v="0"/>
    <s v="EU-Croatia"/>
    <s v="HL"/>
    <x v="1"/>
    <n v="2.2569319999999999"/>
    <x v="0"/>
  </r>
  <r>
    <x v="1"/>
    <s v="EU-Croatia"/>
    <s v="HL"/>
    <x v="1"/>
    <n v="1.198472"/>
    <x v="0"/>
  </r>
  <r>
    <x v="2"/>
    <s v="EU-Croatia"/>
    <s v="HL"/>
    <x v="1"/>
    <n v="1.2227840000000001"/>
    <x v="0"/>
  </r>
  <r>
    <x v="10"/>
    <s v="EU-France"/>
    <s v="HL"/>
    <x v="1"/>
    <n v="5.6950000000000001E-2"/>
    <x v="0"/>
  </r>
  <r>
    <x v="13"/>
    <s v="EU-France"/>
    <s v="HL"/>
    <x v="1"/>
    <n v="0.38800000000000001"/>
    <x v="0"/>
  </r>
  <r>
    <x v="5"/>
    <s v="EU-France"/>
    <s v="HL"/>
    <x v="1"/>
    <n v="0.12"/>
    <x v="0"/>
  </r>
  <r>
    <x v="14"/>
    <s v="EU-France"/>
    <s v="HL"/>
    <x v="1"/>
    <n v="0.5665"/>
    <x v="0"/>
  </r>
  <r>
    <x v="6"/>
    <s v="EU-France"/>
    <s v="HL"/>
    <x v="1"/>
    <n v="3.5000000000000003E-2"/>
    <x v="0"/>
  </r>
  <r>
    <x v="7"/>
    <s v="EU-France"/>
    <s v="HL"/>
    <x v="1"/>
    <n v="2.5000000000000001E-2"/>
    <x v="0"/>
  </r>
  <r>
    <x v="16"/>
    <s v="EU-France"/>
    <s v="HL"/>
    <x v="1"/>
    <n v="2.4604200000000001"/>
    <x v="0"/>
  </r>
  <r>
    <x v="8"/>
    <s v="EU-France"/>
    <s v="HL"/>
    <x v="1"/>
    <n v="0.89052399999999998"/>
    <x v="0"/>
  </r>
  <r>
    <x v="0"/>
    <s v="EU-France"/>
    <s v="HL"/>
    <x v="1"/>
    <n v="2.4556420000000001"/>
    <x v="0"/>
  </r>
  <r>
    <x v="1"/>
    <s v="EU-France"/>
    <s v="HL"/>
    <x v="1"/>
    <n v="3.0095860000000001"/>
    <x v="0"/>
  </r>
  <r>
    <x v="2"/>
    <s v="EU-France"/>
    <s v="HL"/>
    <x v="1"/>
    <n v="3.3445999999999998"/>
    <x v="0"/>
  </r>
  <r>
    <x v="20"/>
    <s v="Maroc"/>
    <s v="HL"/>
    <x v="1"/>
    <n v="0"/>
    <x v="0"/>
  </r>
  <r>
    <x v="10"/>
    <s v="Maroc"/>
    <s v="HL"/>
    <x v="1"/>
    <n v="0"/>
    <x v="0"/>
  </r>
  <r>
    <x v="4"/>
    <s v="Maroc"/>
    <s v="HL"/>
    <x v="1"/>
    <n v="0"/>
    <x v="0"/>
  </r>
  <r>
    <x v="12"/>
    <s v="Maroc"/>
    <s v="HL"/>
    <x v="1"/>
    <n v="0"/>
    <x v="0"/>
  </r>
  <r>
    <x v="13"/>
    <s v="Maroc"/>
    <s v="HL"/>
    <x v="1"/>
    <n v="0"/>
    <x v="0"/>
  </r>
  <r>
    <x v="3"/>
    <s v="Maroc"/>
    <s v="HL"/>
    <x v="1"/>
    <n v="0"/>
    <x v="0"/>
  </r>
  <r>
    <x v="14"/>
    <s v="Türkiye"/>
    <s v="HP"/>
    <x v="1"/>
    <n v="6.63"/>
    <x v="0"/>
  </r>
  <r>
    <x v="15"/>
    <s v="Türkiye"/>
    <s v="HP"/>
    <x v="1"/>
    <n v="35.11"/>
    <x v="0"/>
  </r>
  <r>
    <x v="6"/>
    <s v="Türkiye"/>
    <s v="HP"/>
    <x v="1"/>
    <n v="28.506"/>
    <x v="0"/>
  </r>
  <r>
    <x v="7"/>
    <s v="Türkiye"/>
    <s v="HP"/>
    <x v="1"/>
    <n v="27.86"/>
    <x v="0"/>
  </r>
  <r>
    <x v="16"/>
    <s v="Türkiye"/>
    <s v="HP"/>
    <x v="1"/>
    <n v="26.44"/>
    <x v="0"/>
  </r>
  <r>
    <x v="8"/>
    <s v="Türkiye"/>
    <s v="HP"/>
    <x v="1"/>
    <n v="33.57"/>
    <x v="0"/>
  </r>
  <r>
    <x v="0"/>
    <s v="Türkiye"/>
    <s v="HP"/>
    <x v="1"/>
    <n v="70"/>
    <x v="0"/>
  </r>
  <r>
    <x v="1"/>
    <s v="Türkiye"/>
    <s v="HP"/>
    <x v="1"/>
    <n v="35"/>
    <x v="0"/>
  </r>
  <r>
    <x v="2"/>
    <s v="Türkiye"/>
    <s v="HP"/>
    <x v="1"/>
    <n v="34.200000000000003"/>
    <x v="0"/>
  </r>
  <r>
    <x v="36"/>
    <s v="EU-Italy"/>
    <s v="HP"/>
    <x v="1"/>
    <n v="194.04"/>
    <x v="0"/>
  </r>
  <r>
    <x v="37"/>
    <s v="EU-Italy"/>
    <s v="HP"/>
    <x v="1"/>
    <n v="277.2"/>
    <x v="0"/>
  </r>
  <r>
    <x v="38"/>
    <s v="EU-Italy"/>
    <s v="HP"/>
    <x v="1"/>
    <n v="249.48"/>
    <x v="0"/>
  </r>
  <r>
    <x v="39"/>
    <s v="EU-Italy"/>
    <s v="HP"/>
    <x v="1"/>
    <n v="401.94"/>
    <x v="0"/>
  </r>
  <r>
    <x v="40"/>
    <s v="EU-Italy"/>
    <s v="HP"/>
    <x v="1"/>
    <n v="512.82000000000005"/>
    <x v="0"/>
  </r>
  <r>
    <x v="41"/>
    <s v="EU-Italy"/>
    <s v="HP"/>
    <x v="1"/>
    <n v="388.08"/>
    <x v="0"/>
  </r>
  <r>
    <x v="42"/>
    <s v="EU-Italy"/>
    <s v="HP"/>
    <x v="1"/>
    <n v="461.58800000000002"/>
    <x v="0"/>
  </r>
  <r>
    <x v="43"/>
    <s v="EU-Italy"/>
    <s v="HP"/>
    <x v="1"/>
    <n v="416.048"/>
    <x v="0"/>
  </r>
  <r>
    <x v="44"/>
    <s v="EU-Italy"/>
    <s v="HP"/>
    <x v="1"/>
    <n v="312"/>
    <x v="0"/>
  </r>
  <r>
    <x v="45"/>
    <s v="EU-Italy"/>
    <s v="HP"/>
    <x v="1"/>
    <n v="417"/>
    <x v="0"/>
  </r>
  <r>
    <x v="46"/>
    <s v="EU-Italy"/>
    <s v="HP"/>
    <x v="1"/>
    <n v="756"/>
    <x v="0"/>
  </r>
  <r>
    <x v="47"/>
    <s v="EU-Italy"/>
    <s v="HP"/>
    <x v="1"/>
    <n v="475"/>
    <x v="0"/>
  </r>
  <r>
    <x v="48"/>
    <s v="EU-Italy"/>
    <s v="HP"/>
    <x v="1"/>
    <n v="501"/>
    <x v="0"/>
  </r>
  <r>
    <x v="49"/>
    <s v="EU-Italy"/>
    <s v="HP"/>
    <x v="1"/>
    <n v="461"/>
    <x v="0"/>
  </r>
  <r>
    <x v="50"/>
    <s v="EU-Italy"/>
    <s v="HP"/>
    <x v="1"/>
    <n v="356"/>
    <x v="0"/>
  </r>
  <r>
    <x v="51"/>
    <s v="EU-Italy"/>
    <s v="HP"/>
    <x v="1"/>
    <n v="366"/>
    <x v="0"/>
  </r>
  <r>
    <x v="52"/>
    <s v="EU-Italy"/>
    <s v="HP"/>
    <x v="1"/>
    <n v="293.6069"/>
    <x v="0"/>
  </r>
  <r>
    <x v="53"/>
    <s v="EU-Italy"/>
    <s v="HP"/>
    <x v="1"/>
    <n v="298.05549999999999"/>
    <x v="0"/>
  </r>
  <r>
    <x v="54"/>
    <s v="EU-Italy"/>
    <s v="HP"/>
    <x v="1"/>
    <n v="468.5616"/>
    <x v="0"/>
  </r>
  <r>
    <x v="55"/>
    <s v="EU-Italy"/>
    <s v="HP"/>
    <x v="1"/>
    <n v="324.65440000000001"/>
    <x v="0"/>
  </r>
  <r>
    <x v="56"/>
    <s v="EU-Italy"/>
    <s v="HP"/>
    <x v="1"/>
    <n v="468.30680000000001"/>
    <x v="0"/>
  </r>
  <r>
    <x v="21"/>
    <s v="EU-Italy"/>
    <s v="HP"/>
    <x v="1"/>
    <n v="344.85840000000002"/>
    <x v="0"/>
  </r>
  <r>
    <x v="22"/>
    <s v="EU-Italy"/>
    <s v="HP"/>
    <x v="1"/>
    <n v="379.27319999999997"/>
    <x v="0"/>
  </r>
  <r>
    <x v="23"/>
    <s v="EU-Italy"/>
    <s v="HP"/>
    <x v="1"/>
    <n v="397.4794"/>
    <x v="0"/>
  </r>
  <r>
    <x v="24"/>
    <s v="EU-Italy"/>
    <s v="HP"/>
    <x v="1"/>
    <n v="0"/>
    <x v="0"/>
  </r>
  <r>
    <x v="57"/>
    <s v="EU-Italy"/>
    <s v="HP"/>
    <x v="1"/>
    <n v="0"/>
    <x v="0"/>
  </r>
  <r>
    <x v="59"/>
    <s v="EU-Italy"/>
    <s v="HP"/>
    <x v="1"/>
    <n v="11"/>
    <x v="0"/>
  </r>
  <r>
    <x v="60"/>
    <s v="EU-Italy"/>
    <s v="HP"/>
    <x v="1"/>
    <n v="10"/>
    <x v="0"/>
  </r>
  <r>
    <x v="61"/>
    <s v="EU-Italy"/>
    <s v="HP"/>
    <x v="1"/>
    <n v="12"/>
    <x v="0"/>
  </r>
  <r>
    <x v="62"/>
    <s v="EU-Italy"/>
    <s v="HP"/>
    <x v="1"/>
    <n v="12"/>
    <x v="0"/>
  </r>
  <r>
    <x v="63"/>
    <s v="EU-Italy"/>
    <s v="HP"/>
    <x v="1"/>
    <n v="0"/>
    <x v="0"/>
  </r>
  <r>
    <x v="64"/>
    <s v="EU-Italy"/>
    <s v="HP"/>
    <x v="1"/>
    <n v="11"/>
    <x v="0"/>
  </r>
  <r>
    <x v="67"/>
    <s v="EU-Italy"/>
    <s v="HP"/>
    <x v="1"/>
    <n v="6.5"/>
    <x v="0"/>
  </r>
  <r>
    <x v="17"/>
    <s v="EU-Italy"/>
    <s v="HP"/>
    <x v="1"/>
    <n v="5.3"/>
    <x v="0"/>
  </r>
  <r>
    <x v="18"/>
    <s v="EU-Italy"/>
    <s v="HP"/>
    <x v="1"/>
    <n v="5.54"/>
    <x v="0"/>
  </r>
  <r>
    <x v="9"/>
    <s v="EU-Italy"/>
    <s v="HP"/>
    <x v="1"/>
    <n v="27.46594"/>
    <x v="0"/>
  </r>
  <r>
    <x v="3"/>
    <s v="EU-Italy"/>
    <s v="HP"/>
    <x v="1"/>
    <n v="2.1579000000000002"/>
    <x v="0"/>
  </r>
  <r>
    <x v="5"/>
    <s v="EU-Italy"/>
    <s v="HP"/>
    <x v="1"/>
    <n v="32.07949"/>
    <x v="0"/>
  </r>
  <r>
    <x v="16"/>
    <s v="EU-Italy"/>
    <s v="HP"/>
    <x v="1"/>
    <n v="17.942"/>
    <x v="0"/>
  </r>
  <r>
    <x v="8"/>
    <s v="EU-Italy"/>
    <s v="HP"/>
    <x v="1"/>
    <n v="17.628"/>
    <x v="0"/>
  </r>
  <r>
    <x v="0"/>
    <s v="EU-Italy"/>
    <s v="HP"/>
    <x v="1"/>
    <n v="35.880000000000003"/>
    <x v="0"/>
  </r>
  <r>
    <x v="1"/>
    <s v="EU-Italy"/>
    <s v="HP"/>
    <x v="1"/>
    <n v="24.3"/>
    <x v="0"/>
  </r>
  <r>
    <x v="2"/>
    <s v="EU-Italy"/>
    <s v="HP"/>
    <x v="1"/>
    <n v="14.837"/>
    <x v="0"/>
  </r>
  <r>
    <x v="68"/>
    <s v="EU-España"/>
    <s v="LL"/>
    <x v="1"/>
    <n v="586"/>
    <x v="0"/>
  </r>
  <r>
    <x v="69"/>
    <s v="EU-España"/>
    <s v="LL"/>
    <x v="1"/>
    <n v="580"/>
    <x v="0"/>
  </r>
  <r>
    <x v="70"/>
    <s v="EU-España"/>
    <s v="LL"/>
    <x v="1"/>
    <n v="337"/>
    <x v="0"/>
  </r>
  <r>
    <x v="71"/>
    <s v="EU-España"/>
    <s v="LL"/>
    <x v="1"/>
    <n v="501"/>
    <x v="0"/>
  </r>
  <r>
    <x v="72"/>
    <s v="EU-España"/>
    <s v="LL"/>
    <x v="1"/>
    <n v="452"/>
    <x v="0"/>
  </r>
  <r>
    <x v="73"/>
    <s v="EU-España"/>
    <s v="LL"/>
    <x v="1"/>
    <n v="340"/>
    <x v="0"/>
  </r>
  <r>
    <x v="74"/>
    <s v="EU-España"/>
    <s v="LL"/>
    <x v="1"/>
    <n v="393"/>
    <x v="0"/>
  </r>
  <r>
    <x v="25"/>
    <s v="EU-España"/>
    <s v="LL"/>
    <x v="1"/>
    <n v="395"/>
    <x v="0"/>
  </r>
  <r>
    <x v="26"/>
    <s v="EU-España"/>
    <s v="LL"/>
    <x v="1"/>
    <n v="414"/>
    <x v="0"/>
  </r>
  <r>
    <x v="27"/>
    <s v="EU-España"/>
    <s v="LL"/>
    <x v="1"/>
    <n v="400.66699999999997"/>
    <x v="0"/>
  </r>
  <r>
    <x v="28"/>
    <s v="EU-España"/>
    <s v="LL"/>
    <x v="1"/>
    <n v="403.22199999999998"/>
    <x v="0"/>
  </r>
  <r>
    <x v="29"/>
    <s v="EU-España"/>
    <s v="LL"/>
    <x v="1"/>
    <n v="405.96300000000002"/>
    <x v="0"/>
  </r>
  <r>
    <x v="30"/>
    <s v="EU-España"/>
    <s v="LL"/>
    <x v="1"/>
    <n v="403.28399999999999"/>
    <x v="0"/>
  </r>
  <r>
    <x v="31"/>
    <s v="EU-España"/>
    <s v="LL"/>
    <x v="1"/>
    <n v="404.15600000000001"/>
    <x v="0"/>
  </r>
  <r>
    <x v="32"/>
    <s v="EU-España"/>
    <s v="LL"/>
    <x v="1"/>
    <n v="404.46800000000002"/>
    <x v="0"/>
  </r>
  <r>
    <x v="33"/>
    <s v="EU-España"/>
    <s v="LL"/>
    <x v="1"/>
    <n v="1200"/>
    <x v="0"/>
  </r>
  <r>
    <x v="34"/>
    <s v="EU-España"/>
    <s v="LL"/>
    <x v="1"/>
    <n v="1000"/>
    <x v="0"/>
  </r>
  <r>
    <x v="35"/>
    <s v="EU-España"/>
    <s v="LL"/>
    <x v="1"/>
    <n v="700"/>
    <x v="0"/>
  </r>
  <r>
    <x v="36"/>
    <s v="EU-España"/>
    <s v="LL"/>
    <x v="1"/>
    <n v="1000"/>
    <x v="0"/>
  </r>
  <r>
    <x v="37"/>
    <s v="EU-España"/>
    <s v="LL"/>
    <x v="1"/>
    <n v="1100"/>
    <x v="0"/>
  </r>
  <r>
    <x v="38"/>
    <s v="EU-España"/>
    <s v="LL"/>
    <x v="1"/>
    <n v="900"/>
    <x v="0"/>
  </r>
  <r>
    <x v="39"/>
    <s v="EU-España"/>
    <s v="LL"/>
    <x v="1"/>
    <n v="1100"/>
    <x v="0"/>
  </r>
  <r>
    <x v="40"/>
    <s v="EU-España"/>
    <s v="LL"/>
    <x v="1"/>
    <n v="1300"/>
    <x v="0"/>
  </r>
  <r>
    <x v="41"/>
    <s v="EU-España"/>
    <s v="LL"/>
    <x v="1"/>
    <n v="1105"/>
    <x v="0"/>
  </r>
  <r>
    <x v="42"/>
    <s v="EU-España"/>
    <s v="LL"/>
    <x v="1"/>
    <n v="700"/>
    <x v="0"/>
  </r>
  <r>
    <x v="43"/>
    <s v="EU-España"/>
    <s v="LL"/>
    <x v="1"/>
    <n v="89"/>
    <x v="0"/>
  </r>
  <r>
    <x v="44"/>
    <s v="EU-España"/>
    <s v="LL"/>
    <x v="1"/>
    <n v="89"/>
    <x v="0"/>
  </r>
  <r>
    <x v="45"/>
    <s v="EU-España"/>
    <s v="LL"/>
    <x v="1"/>
    <n v="667"/>
    <x v="0"/>
  </r>
  <r>
    <x v="46"/>
    <s v="EU-España"/>
    <s v="LL"/>
    <x v="1"/>
    <n v="720"/>
    <x v="0"/>
  </r>
  <r>
    <x v="47"/>
    <s v="EU-España"/>
    <s v="LL"/>
    <x v="1"/>
    <n v="800"/>
    <x v="0"/>
  </r>
  <r>
    <x v="48"/>
    <s v="EU-España"/>
    <s v="LL"/>
    <x v="1"/>
    <n v="750"/>
    <x v="0"/>
  </r>
  <r>
    <x v="49"/>
    <s v="EU-España"/>
    <s v="LL"/>
    <x v="1"/>
    <n v="1120"/>
    <x v="0"/>
  </r>
  <r>
    <x v="50"/>
    <s v="EU-España"/>
    <s v="LL"/>
    <x v="1"/>
    <n v="900"/>
    <x v="0"/>
  </r>
  <r>
    <x v="51"/>
    <s v="EU-España"/>
    <s v="LL"/>
    <x v="1"/>
    <n v="1321"/>
    <x v="0"/>
  </r>
  <r>
    <x v="52"/>
    <s v="EU-España"/>
    <s v="LL"/>
    <x v="1"/>
    <n v="1243"/>
    <x v="0"/>
  </r>
  <r>
    <x v="53"/>
    <s v="EU-España"/>
    <s v="LL"/>
    <x v="1"/>
    <n v="1219"/>
    <x v="0"/>
  </r>
  <r>
    <x v="54"/>
    <s v="EU-España"/>
    <s v="LL"/>
    <x v="1"/>
    <n v="1337"/>
    <x v="0"/>
  </r>
  <r>
    <x v="55"/>
    <s v="EU-España"/>
    <s v="LL"/>
    <x v="1"/>
    <n v="1133.9690000000001"/>
    <x v="0"/>
  </r>
  <r>
    <x v="56"/>
    <s v="EU-España"/>
    <s v="LL"/>
    <x v="1"/>
    <n v="1760"/>
    <x v="0"/>
  </r>
  <r>
    <x v="21"/>
    <s v="EU-España"/>
    <s v="LL"/>
    <x v="1"/>
    <n v="1250"/>
    <x v="0"/>
  </r>
  <r>
    <x v="22"/>
    <s v="EU-España"/>
    <s v="LL"/>
    <x v="1"/>
    <n v="1438"/>
    <x v="0"/>
  </r>
  <r>
    <x v="23"/>
    <s v="EU-España"/>
    <s v="LL"/>
    <x v="1"/>
    <n v="1132"/>
    <x v="0"/>
  </r>
  <r>
    <x v="24"/>
    <s v="EU-España"/>
    <s v="LL"/>
    <x v="1"/>
    <n v="790"/>
    <x v="0"/>
  </r>
  <r>
    <x v="57"/>
    <s v="EU-España"/>
    <s v="LL"/>
    <x v="1"/>
    <n v="1293"/>
    <x v="0"/>
  </r>
  <r>
    <x v="58"/>
    <s v="EU-España"/>
    <s v="LL"/>
    <x v="1"/>
    <n v="1402"/>
    <x v="0"/>
  </r>
  <r>
    <x v="59"/>
    <s v="EU-España"/>
    <s v="LL"/>
    <x v="1"/>
    <n v="1351"/>
    <x v="0"/>
  </r>
  <r>
    <x v="60"/>
    <s v="EU-España"/>
    <s v="LL"/>
    <x v="1"/>
    <n v="1040"/>
    <x v="0"/>
  </r>
  <r>
    <x v="61"/>
    <s v="EU-España"/>
    <s v="LL"/>
    <x v="1"/>
    <n v="1184"/>
    <x v="0"/>
  </r>
  <r>
    <x v="62"/>
    <s v="EU-España"/>
    <s v="LL"/>
    <x v="1"/>
    <n v="1409"/>
    <x v="0"/>
  </r>
  <r>
    <x v="63"/>
    <s v="EU-España"/>
    <s v="LL"/>
    <x v="1"/>
    <n v="866.7"/>
    <x v="0"/>
  </r>
  <r>
    <x v="64"/>
    <s v="EU-España"/>
    <s v="LL"/>
    <x v="1"/>
    <n v="1395.713"/>
    <x v="0"/>
  </r>
  <r>
    <x v="65"/>
    <s v="EU-España"/>
    <s v="LL"/>
    <x v="1"/>
    <n v="1401.8"/>
    <x v="0"/>
  </r>
  <r>
    <x v="66"/>
    <s v="EU-España"/>
    <s v="LL"/>
    <x v="1"/>
    <n v="1420.7"/>
    <x v="0"/>
  </r>
  <r>
    <x v="67"/>
    <s v="EU-España"/>
    <s v="LL"/>
    <x v="1"/>
    <n v="1164.963"/>
    <x v="0"/>
  </r>
  <r>
    <x v="17"/>
    <s v="EU-España"/>
    <s v="LL"/>
    <x v="1"/>
    <n v="929.56899999999996"/>
    <x v="0"/>
  </r>
  <r>
    <x v="18"/>
    <s v="EU-España"/>
    <s v="LL"/>
    <x v="1"/>
    <n v="860.25699999999995"/>
    <x v="0"/>
  </r>
  <r>
    <x v="19"/>
    <s v="EU-España"/>
    <s v="LL"/>
    <x v="1"/>
    <n v="1405.3679999999999"/>
    <x v="0"/>
  </r>
  <r>
    <x v="20"/>
    <s v="EU-España"/>
    <s v="LL"/>
    <x v="1"/>
    <n v="1648.1874"/>
    <x v="0"/>
  </r>
  <r>
    <x v="9"/>
    <s v="EU-España"/>
    <s v="LL"/>
    <x v="1"/>
    <n v="2062.8020000000001"/>
    <x v="0"/>
  </r>
  <r>
    <x v="10"/>
    <s v="EU-España"/>
    <s v="LL"/>
    <x v="1"/>
    <n v="1994.357"/>
    <x v="0"/>
  </r>
  <r>
    <x v="11"/>
    <s v="EU-España"/>
    <s v="LL"/>
    <x v="1"/>
    <n v="1785.4079999999999"/>
    <x v="0"/>
  </r>
  <r>
    <x v="4"/>
    <s v="EU-España"/>
    <s v="LL"/>
    <x v="1"/>
    <n v="1730.1590000000001"/>
    <x v="0"/>
  </r>
  <r>
    <x v="12"/>
    <s v="EU-España"/>
    <s v="LL"/>
    <x v="1"/>
    <n v="1580.153"/>
    <x v="0"/>
  </r>
  <r>
    <x v="13"/>
    <s v="EU-España"/>
    <s v="LL"/>
    <x v="1"/>
    <n v="1605.412"/>
    <x v="0"/>
  </r>
  <r>
    <x v="3"/>
    <s v="EU-España"/>
    <s v="LL"/>
    <x v="1"/>
    <n v="2019.123"/>
    <x v="0"/>
  </r>
  <r>
    <x v="5"/>
    <s v="EU-España"/>
    <s v="LL"/>
    <x v="1"/>
    <n v="2281.962"/>
    <x v="0"/>
  </r>
  <r>
    <x v="14"/>
    <s v="EU-España"/>
    <s v="LL"/>
    <x v="1"/>
    <n v="1732.3311000000001"/>
    <x v="0"/>
  </r>
  <r>
    <x v="15"/>
    <s v="EU-España"/>
    <s v="LL"/>
    <x v="1"/>
    <n v="1486.735778"/>
    <x v="0"/>
  </r>
  <r>
    <x v="6"/>
    <s v="EU-España"/>
    <s v="LL"/>
    <x v="1"/>
    <n v="1386.3072"/>
    <x v="0"/>
  </r>
  <r>
    <x v="7"/>
    <s v="EU-España"/>
    <s v="LL"/>
    <x v="1"/>
    <n v="1458.8142499999999"/>
    <x v="0"/>
  </r>
  <r>
    <x v="16"/>
    <s v="EU-España"/>
    <s v="LL"/>
    <x v="1"/>
    <n v="1425.3828000000001"/>
    <x v="0"/>
  </r>
  <r>
    <x v="8"/>
    <s v="EU-España"/>
    <s v="LL"/>
    <x v="1"/>
    <n v="1369.4947"/>
    <x v="0"/>
  </r>
  <r>
    <x v="0"/>
    <s v="EU-España"/>
    <s v="LL"/>
    <x v="1"/>
    <n v="1451.782095"/>
    <x v="0"/>
  </r>
  <r>
    <x v="1"/>
    <s v="EU-España"/>
    <s v="LL"/>
    <x v="1"/>
    <n v="1335.203"/>
    <x v="0"/>
  </r>
  <r>
    <x v="2"/>
    <s v="EU-España"/>
    <s v="LL"/>
    <x v="1"/>
    <n v="1472.819"/>
    <x v="0"/>
  </r>
  <r>
    <x v="66"/>
    <s v="Türkiye"/>
    <s v="LL"/>
    <x v="1"/>
    <n v="70"/>
    <x v="0"/>
  </r>
  <r>
    <x v="67"/>
    <s v="Türkiye"/>
    <s v="LL"/>
    <x v="1"/>
    <n v="76"/>
    <x v="0"/>
  </r>
  <r>
    <x v="17"/>
    <s v="Türkiye"/>
    <s v="LL"/>
    <x v="1"/>
    <n v="69"/>
    <x v="0"/>
  </r>
  <r>
    <x v="18"/>
    <s v="Türkiye"/>
    <s v="LL"/>
    <x v="1"/>
    <n v="84"/>
    <x v="0"/>
  </r>
  <r>
    <x v="19"/>
    <s v="Türkiye"/>
    <s v="LL"/>
    <x v="1"/>
    <n v="73"/>
    <x v="0"/>
  </r>
  <r>
    <x v="20"/>
    <s v="Türkiye"/>
    <s v="LL"/>
    <x v="1"/>
    <n v="71"/>
    <x v="0"/>
  </r>
  <r>
    <x v="9"/>
    <s v="Türkiye"/>
    <s v="LL"/>
    <x v="1"/>
    <n v="386"/>
    <x v="0"/>
  </r>
  <r>
    <x v="10"/>
    <s v="Türkiye"/>
    <s v="LL"/>
    <x v="1"/>
    <n v="301"/>
    <x v="0"/>
  </r>
  <r>
    <x v="11"/>
    <s v="Türkiye"/>
    <s v="LL"/>
    <x v="1"/>
    <n v="334"/>
    <x v="0"/>
  </r>
  <r>
    <x v="4"/>
    <s v="Türkiye"/>
    <s v="LL"/>
    <x v="1"/>
    <n v="189.6"/>
    <x v="0"/>
  </r>
  <r>
    <x v="12"/>
    <s v="Türkiye"/>
    <s v="LL"/>
    <x v="1"/>
    <n v="66.498000000000005"/>
    <x v="0"/>
  </r>
  <r>
    <x v="13"/>
    <s v="Türkiye"/>
    <s v="LL"/>
    <x v="1"/>
    <n v="96.8"/>
    <x v="0"/>
  </r>
  <r>
    <x v="3"/>
    <s v="Türkiye"/>
    <s v="LL"/>
    <x v="1"/>
    <n v="55.7"/>
    <x v="0"/>
  </r>
  <r>
    <x v="5"/>
    <s v="Türkiye"/>
    <s v="LL"/>
    <x v="1"/>
    <n v="34.9"/>
    <x v="0"/>
  </r>
  <r>
    <x v="14"/>
    <s v="Türkiye"/>
    <s v="LL"/>
    <x v="1"/>
    <n v="69.87"/>
    <x v="0"/>
  </r>
  <r>
    <x v="15"/>
    <s v="Türkiye"/>
    <s v="LL"/>
    <x v="1"/>
    <n v="405.01"/>
    <x v="0"/>
  </r>
  <r>
    <x v="6"/>
    <s v="Türkiye"/>
    <s v="LL"/>
    <x v="1"/>
    <n v="396.50200000000001"/>
    <x v="0"/>
  </r>
  <r>
    <x v="7"/>
    <s v="Türkiye"/>
    <s v="LL"/>
    <x v="1"/>
    <n v="386.14"/>
    <x v="0"/>
  </r>
  <r>
    <x v="16"/>
    <s v="Türkiye"/>
    <s v="LL"/>
    <x v="1"/>
    <n v="375.96"/>
    <x v="0"/>
  </r>
  <r>
    <x v="8"/>
    <s v="Türkiye"/>
    <s v="LL"/>
    <x v="1"/>
    <n v="356.83"/>
    <x v="0"/>
  </r>
  <r>
    <x v="0"/>
    <s v="Türkiye"/>
    <s v="LL"/>
    <x v="1"/>
    <n v="305.8"/>
    <x v="0"/>
  </r>
  <r>
    <x v="1"/>
    <s v="Türkiye"/>
    <s v="LL"/>
    <x v="1"/>
    <n v="343.7"/>
    <x v="0"/>
  </r>
  <r>
    <x v="2"/>
    <s v="Türkiye"/>
    <s v="LL"/>
    <x v="1"/>
    <n v="344.5"/>
    <x v="0"/>
  </r>
  <r>
    <x v="38"/>
    <s v="Algerie"/>
    <s v="LL"/>
    <x v="1"/>
    <n v="0"/>
    <x v="0"/>
  </r>
  <r>
    <x v="39"/>
    <s v="Algerie"/>
    <s v="LL"/>
    <x v="1"/>
    <n v="0"/>
    <x v="0"/>
  </r>
  <r>
    <x v="40"/>
    <s v="Algerie"/>
    <s v="LL"/>
    <x v="1"/>
    <n v="0"/>
    <x v="0"/>
  </r>
  <r>
    <x v="41"/>
    <s v="Algerie"/>
    <s v="LL"/>
    <x v="1"/>
    <n v="100"/>
    <x v="0"/>
  </r>
  <r>
    <x v="42"/>
    <s v="Algerie"/>
    <s v="LL"/>
    <x v="1"/>
    <n v="196"/>
    <x v="0"/>
  </r>
  <r>
    <x v="43"/>
    <s v="Algerie"/>
    <s v="LL"/>
    <x v="1"/>
    <n v="500"/>
    <x v="0"/>
  </r>
  <r>
    <x v="44"/>
    <s v="Algerie"/>
    <s v="LL"/>
    <x v="1"/>
    <n v="368"/>
    <x v="0"/>
  </r>
  <r>
    <x v="45"/>
    <s v="Algerie"/>
    <s v="LL"/>
    <x v="1"/>
    <n v="370"/>
    <x v="0"/>
  </r>
  <r>
    <x v="46"/>
    <s v="Algerie"/>
    <s v="LL"/>
    <x v="1"/>
    <n v="320"/>
    <x v="0"/>
  </r>
  <r>
    <x v="47"/>
    <s v="Algerie"/>
    <s v="LL"/>
    <x v="1"/>
    <n v="521"/>
    <x v="0"/>
  </r>
  <r>
    <x v="48"/>
    <s v="Algerie"/>
    <s v="LL"/>
    <x v="1"/>
    <n v="650"/>
    <x v="0"/>
  </r>
  <r>
    <x v="49"/>
    <s v="Algerie"/>
    <s v="LL"/>
    <x v="1"/>
    <n v="760"/>
    <x v="0"/>
  </r>
  <r>
    <x v="50"/>
    <s v="Algerie"/>
    <s v="LL"/>
    <x v="1"/>
    <n v="870"/>
    <x v="0"/>
  </r>
  <r>
    <x v="51"/>
    <s v="Algerie"/>
    <s v="LL"/>
    <x v="1"/>
    <n v="877"/>
    <x v="0"/>
  </r>
  <r>
    <x v="52"/>
    <s v="Algerie"/>
    <s v="LL"/>
    <x v="1"/>
    <n v="884"/>
    <x v="0"/>
  </r>
  <r>
    <x v="53"/>
    <s v="Algerie"/>
    <s v="LL"/>
    <x v="1"/>
    <n v="890"/>
    <x v="0"/>
  </r>
  <r>
    <x v="54"/>
    <s v="Algerie"/>
    <s v="LL"/>
    <x v="1"/>
    <n v="847"/>
    <x v="0"/>
  </r>
  <r>
    <x v="55"/>
    <s v="Algerie"/>
    <s v="LL"/>
    <x v="1"/>
    <n v="1820"/>
    <x v="0"/>
  </r>
  <r>
    <x v="56"/>
    <s v="Algerie"/>
    <s v="LL"/>
    <x v="1"/>
    <n v="2621"/>
    <x v="0"/>
  </r>
  <r>
    <x v="21"/>
    <s v="Algerie"/>
    <s v="LL"/>
    <x v="1"/>
    <n v="590"/>
    <x v="0"/>
  </r>
  <r>
    <x v="22"/>
    <s v="Algerie"/>
    <s v="LL"/>
    <x v="1"/>
    <n v="173"/>
    <x v="0"/>
  </r>
  <r>
    <x v="23"/>
    <s v="Algerie"/>
    <s v="LL"/>
    <x v="1"/>
    <n v="173"/>
    <x v="0"/>
  </r>
  <r>
    <x v="24"/>
    <s v="Algerie"/>
    <s v="LL"/>
    <x v="1"/>
    <n v="6"/>
    <x v="0"/>
  </r>
  <r>
    <x v="57"/>
    <s v="Algerie"/>
    <s v="LL"/>
    <x v="1"/>
    <n v="173"/>
    <x v="0"/>
  </r>
  <r>
    <x v="58"/>
    <s v="Algerie"/>
    <s v="LL"/>
    <x v="1"/>
    <n v="185"/>
    <x v="0"/>
  </r>
  <r>
    <x v="59"/>
    <s v="Algerie"/>
    <s v="LL"/>
    <x v="1"/>
    <n v="247"/>
    <x v="0"/>
  </r>
  <r>
    <x v="60"/>
    <s v="Algerie"/>
    <s v="LL"/>
    <x v="1"/>
    <n v="247"/>
    <x v="0"/>
  </r>
  <r>
    <x v="61"/>
    <s v="Algerie"/>
    <s v="LL"/>
    <x v="1"/>
    <n v="247"/>
    <x v="0"/>
  </r>
  <r>
    <x v="62"/>
    <s v="Algerie"/>
    <s v="LL"/>
    <x v="1"/>
    <n v="178"/>
    <x v="0"/>
  </r>
  <r>
    <x v="63"/>
    <s v="Algerie"/>
    <s v="LL"/>
    <x v="1"/>
    <n v="126"/>
    <x v="0"/>
  </r>
  <r>
    <x v="64"/>
    <s v="Algerie"/>
    <s v="LL"/>
    <x v="1"/>
    <n v="166"/>
    <x v="0"/>
  </r>
  <r>
    <x v="65"/>
    <s v="Algerie"/>
    <s v="LL"/>
    <x v="1"/>
    <n v="439"/>
    <x v="0"/>
  </r>
  <r>
    <x v="66"/>
    <s v="Algerie"/>
    <s v="LL"/>
    <x v="1"/>
    <n v="347"/>
    <x v="0"/>
  </r>
  <r>
    <x v="67"/>
    <s v="Algerie"/>
    <s v="LL"/>
    <x v="1"/>
    <n v="238"/>
    <x v="0"/>
  </r>
  <r>
    <x v="17"/>
    <s v="Algerie"/>
    <s v="LL"/>
    <x v="1"/>
    <n v="174"/>
    <x v="0"/>
  </r>
  <r>
    <x v="18"/>
    <s v="Algerie"/>
    <s v="LL"/>
    <x v="1"/>
    <n v="93"/>
    <x v="0"/>
  </r>
  <r>
    <x v="19"/>
    <s v="Algerie"/>
    <s v="LL"/>
    <x v="1"/>
    <n v="496"/>
    <x v="0"/>
  </r>
  <r>
    <x v="20"/>
    <s v="Algerie"/>
    <s v="LL"/>
    <x v="1"/>
    <n v="492"/>
    <x v="0"/>
  </r>
  <r>
    <x v="9"/>
    <s v="Algerie"/>
    <s v="LL"/>
    <x v="1"/>
    <n v="802"/>
    <x v="0"/>
  </r>
  <r>
    <x v="10"/>
    <s v="Algerie"/>
    <s v="LL"/>
    <x v="1"/>
    <n v="468"/>
    <x v="0"/>
  </r>
  <r>
    <x v="11"/>
    <s v="Algerie"/>
    <s v="LL"/>
    <x v="1"/>
    <n v="459.43799999999999"/>
    <x v="0"/>
  </r>
  <r>
    <x v="4"/>
    <s v="Algerie"/>
    <s v="LL"/>
    <x v="1"/>
    <n v="192.28"/>
    <x v="0"/>
  </r>
  <r>
    <x v="12"/>
    <s v="Algerie"/>
    <s v="LL"/>
    <x v="1"/>
    <n v="355.52300000000002"/>
    <x v="0"/>
  </r>
  <r>
    <x v="13"/>
    <s v="Algerie"/>
    <s v="LL"/>
    <x v="1"/>
    <n v="383.5"/>
    <x v="0"/>
  </r>
  <r>
    <x v="3"/>
    <s v="Algerie"/>
    <s v="LL"/>
    <x v="1"/>
    <n v="548.66"/>
    <x v="0"/>
  </r>
  <r>
    <x v="5"/>
    <s v="Algerie"/>
    <s v="LL"/>
    <x v="1"/>
    <n v="557.93899999999996"/>
    <x v="0"/>
  </r>
  <r>
    <x v="14"/>
    <s v="Algerie"/>
    <s v="LL"/>
    <x v="1"/>
    <n v="665.79399999999998"/>
    <x v="0"/>
  </r>
  <r>
    <x v="15"/>
    <s v="Algerie"/>
    <s v="LL"/>
    <x v="1"/>
    <n v="550"/>
    <x v="0"/>
  </r>
  <r>
    <x v="6"/>
    <s v="Algerie"/>
    <s v="LL"/>
    <x v="1"/>
    <n v="528"/>
    <x v="0"/>
  </r>
  <r>
    <x v="7"/>
    <s v="Algerie"/>
    <s v="LL"/>
    <x v="1"/>
    <n v="517.49"/>
    <x v="0"/>
  </r>
  <r>
    <x v="16"/>
    <s v="Algerie"/>
    <s v="LL"/>
    <x v="1"/>
    <n v="500.95"/>
    <x v="0"/>
  </r>
  <r>
    <x v="8"/>
    <s v="Algerie"/>
    <s v="LL"/>
    <x v="1"/>
    <n v="445.75"/>
    <x v="0"/>
  </r>
  <r>
    <x v="0"/>
    <s v="Algerie"/>
    <s v="LL"/>
    <x v="1"/>
    <n v="471.78300000000002"/>
    <x v="0"/>
  </r>
  <r>
    <x v="1"/>
    <s v="Algerie"/>
    <s v="LL"/>
    <x v="1"/>
    <n v="471.75"/>
    <x v="0"/>
  </r>
  <r>
    <x v="2"/>
    <s v="Algerie"/>
    <s v="LL"/>
    <x v="1"/>
    <n v="472.3"/>
    <x v="0"/>
  </r>
  <r>
    <x v="57"/>
    <s v="Chinese Taipei"/>
    <s v="LL"/>
    <x v="1"/>
    <n v="1"/>
    <x v="0"/>
  </r>
  <r>
    <x v="58"/>
    <s v="Chinese Taipei"/>
    <s v="LL"/>
    <x v="1"/>
    <n v="1"/>
    <x v="0"/>
  </r>
  <r>
    <x v="59"/>
    <s v="Chinese Taipei"/>
    <s v="LL"/>
    <x v="1"/>
    <n v="0.66700000000000004"/>
    <x v="0"/>
  </r>
  <r>
    <x v="60"/>
    <s v="Chinese Taipei"/>
    <s v="LL"/>
    <x v="1"/>
    <n v="1"/>
    <x v="0"/>
  </r>
  <r>
    <x v="61"/>
    <s v="Chinese Taipei"/>
    <s v="LL"/>
    <x v="1"/>
    <n v="3"/>
    <x v="0"/>
  </r>
  <r>
    <x v="9"/>
    <s v="Chinese Taipei"/>
    <s v="LL"/>
    <x v="1"/>
    <n v="0"/>
    <x v="0"/>
  </r>
  <r>
    <x v="10"/>
    <s v="Chinese Taipei"/>
    <s v="LL"/>
    <x v="1"/>
    <n v="0"/>
    <x v="0"/>
  </r>
  <r>
    <x v="11"/>
    <s v="Chinese Taipei"/>
    <s v="LL"/>
    <x v="1"/>
    <n v="0"/>
    <x v="0"/>
  </r>
  <r>
    <x v="4"/>
    <s v="Chinese Taipei"/>
    <s v="LL"/>
    <x v="1"/>
    <n v="0"/>
    <x v="0"/>
  </r>
  <r>
    <x v="12"/>
    <s v="Chinese Taipei"/>
    <s v="LL"/>
    <x v="1"/>
    <n v="0"/>
    <x v="0"/>
  </r>
  <r>
    <x v="13"/>
    <s v="Chinese Taipei"/>
    <s v="LL"/>
    <x v="1"/>
    <n v="0"/>
    <x v="0"/>
  </r>
  <r>
    <x v="3"/>
    <s v="Chinese Taipei"/>
    <s v="LL"/>
    <x v="1"/>
    <n v="0"/>
    <x v="0"/>
  </r>
  <r>
    <x v="14"/>
    <s v="Chinese Taipei"/>
    <s v="LL"/>
    <x v="1"/>
    <n v="0"/>
    <x v="0"/>
  </r>
  <r>
    <x v="15"/>
    <s v="Chinese Taipei"/>
    <s v="LL"/>
    <x v="1"/>
    <n v="0"/>
    <x v="0"/>
  </r>
  <r>
    <x v="6"/>
    <s v="Chinese Taipei"/>
    <s v="LL"/>
    <x v="1"/>
    <n v="0"/>
    <x v="0"/>
  </r>
  <r>
    <x v="7"/>
    <s v="Chinese Taipei"/>
    <s v="LL"/>
    <x v="1"/>
    <n v="0"/>
    <x v="0"/>
  </r>
  <r>
    <x v="16"/>
    <s v="Chinese Taipei"/>
    <s v="LL"/>
    <x v="1"/>
    <n v="0"/>
    <x v="0"/>
  </r>
  <r>
    <x v="8"/>
    <s v="Chinese Taipei"/>
    <s v="LL"/>
    <x v="1"/>
    <n v="0"/>
    <x v="0"/>
  </r>
  <r>
    <x v="0"/>
    <s v="Chinese Taipei"/>
    <s v="LL"/>
    <x v="1"/>
    <n v="0"/>
    <x v="0"/>
  </r>
  <r>
    <x v="13"/>
    <s v="Egypt"/>
    <s v="LL"/>
    <x v="1"/>
    <n v="0.50800000000000001"/>
    <x v="0"/>
  </r>
  <r>
    <x v="3"/>
    <s v="Egypt"/>
    <s v="LL"/>
    <x v="1"/>
    <n v="0.36399999999999999"/>
    <x v="0"/>
  </r>
  <r>
    <x v="6"/>
    <s v="Egypt"/>
    <s v="LL"/>
    <x v="1"/>
    <n v="4"/>
    <x v="0"/>
  </r>
  <r>
    <x v="16"/>
    <s v="Egypt"/>
    <s v="LL"/>
    <x v="1"/>
    <n v="4"/>
    <x v="0"/>
  </r>
  <r>
    <x v="8"/>
    <s v="Egypt"/>
    <s v="LL"/>
    <x v="1"/>
    <n v="7"/>
    <x v="0"/>
  </r>
  <r>
    <x v="0"/>
    <s v="Egypt"/>
    <s v="LL"/>
    <x v="1"/>
    <n v="26"/>
    <x v="0"/>
  </r>
  <r>
    <x v="1"/>
    <s v="Egypt"/>
    <s v="LL"/>
    <x v="1"/>
    <n v="73"/>
    <x v="0"/>
  </r>
  <r>
    <x v="2"/>
    <s v="Egypt"/>
    <s v="LL"/>
    <x v="1"/>
    <n v="100"/>
    <x v="0"/>
  </r>
  <r>
    <x v="62"/>
    <s v="EU-Croatia"/>
    <s v="LL"/>
    <x v="1"/>
    <n v="10"/>
    <x v="0"/>
  </r>
  <r>
    <x v="63"/>
    <s v="EU-Croatia"/>
    <s v="LL"/>
    <x v="1"/>
    <n v="20"/>
    <x v="0"/>
  </r>
  <r>
    <x v="9"/>
    <s v="EU-Croatia"/>
    <s v="LL"/>
    <x v="1"/>
    <n v="4.1749999999999998"/>
    <x v="0"/>
  </r>
  <r>
    <x v="10"/>
    <s v="EU-Croatia"/>
    <s v="LL"/>
    <x v="1"/>
    <n v="0.96499999999999997"/>
    <x v="0"/>
  </r>
  <r>
    <x v="11"/>
    <s v="EU-Croatia"/>
    <s v="LL"/>
    <x v="1"/>
    <n v="1.873"/>
    <x v="0"/>
  </r>
  <r>
    <x v="4"/>
    <s v="EU-Croatia"/>
    <s v="LL"/>
    <x v="1"/>
    <n v="4.2409999999999997"/>
    <x v="0"/>
  </r>
  <r>
    <x v="12"/>
    <s v="EU-Croatia"/>
    <s v="LL"/>
    <x v="1"/>
    <n v="1.526"/>
    <x v="0"/>
  </r>
  <r>
    <x v="13"/>
    <s v="EU-Croatia"/>
    <s v="LL"/>
    <x v="1"/>
    <n v="5.2050000000000001"/>
    <x v="0"/>
  </r>
  <r>
    <x v="3"/>
    <s v="EU-Croatia"/>
    <s v="LL"/>
    <x v="1"/>
    <n v="12.4176"/>
    <x v="0"/>
  </r>
  <r>
    <x v="5"/>
    <s v="EU-Croatia"/>
    <s v="LL"/>
    <x v="1"/>
    <n v="5.1819499999999996"/>
    <x v="0"/>
  </r>
  <r>
    <x v="14"/>
    <s v="EU-Croatia"/>
    <s v="LL"/>
    <x v="1"/>
    <n v="20.8508"/>
    <x v="0"/>
  </r>
  <r>
    <x v="15"/>
    <s v="EU-Croatia"/>
    <s v="LL"/>
    <x v="1"/>
    <n v="16.067540000000001"/>
    <x v="0"/>
  </r>
  <r>
    <x v="6"/>
    <s v="EU-Croatia"/>
    <s v="LL"/>
    <x v="1"/>
    <n v="25.974769999999999"/>
    <x v="0"/>
  </r>
  <r>
    <x v="7"/>
    <s v="EU-Croatia"/>
    <s v="LL"/>
    <x v="1"/>
    <n v="30.463200000000001"/>
    <x v="0"/>
  </r>
  <r>
    <x v="16"/>
    <s v="EU-Croatia"/>
    <s v="LL"/>
    <x v="1"/>
    <n v="22.300912"/>
    <x v="0"/>
  </r>
  <r>
    <x v="8"/>
    <s v="EU-Croatia"/>
    <s v="LL"/>
    <x v="1"/>
    <n v="23.530480000000001"/>
    <x v="0"/>
  </r>
  <r>
    <x v="0"/>
    <s v="EU-Croatia"/>
    <s v="LL"/>
    <x v="1"/>
    <n v="36.244126000000001"/>
    <x v="0"/>
  </r>
  <r>
    <x v="1"/>
    <s v="EU-Croatia"/>
    <s v="LL"/>
    <x v="1"/>
    <n v="38.164935999999997"/>
    <x v="0"/>
  </r>
  <r>
    <x v="2"/>
    <s v="EU-Croatia"/>
    <s v="LL"/>
    <x v="1"/>
    <n v="37.450750999999997"/>
    <x v="0"/>
  </r>
  <r>
    <x v="40"/>
    <s v="EU-Cyprus"/>
    <s v="LL"/>
    <x v="1"/>
    <n v="0"/>
    <x v="0"/>
  </r>
  <r>
    <x v="41"/>
    <s v="EU-Cyprus"/>
    <s v="LL"/>
    <x v="1"/>
    <n v="0"/>
    <x v="0"/>
  </r>
  <r>
    <x v="42"/>
    <s v="EU-Cyprus"/>
    <s v="LL"/>
    <x v="1"/>
    <n v="0"/>
    <x v="0"/>
  </r>
  <r>
    <x v="43"/>
    <s v="EU-Cyprus"/>
    <s v="LL"/>
    <x v="1"/>
    <n v="5"/>
    <x v="0"/>
  </r>
  <r>
    <x v="44"/>
    <s v="EU-Cyprus"/>
    <s v="LL"/>
    <x v="1"/>
    <n v="59"/>
    <x v="0"/>
  </r>
  <r>
    <x v="45"/>
    <s v="EU-Cyprus"/>
    <s v="LL"/>
    <x v="1"/>
    <n v="95"/>
    <x v="0"/>
  </r>
  <r>
    <x v="46"/>
    <s v="EU-Cyprus"/>
    <s v="LL"/>
    <x v="1"/>
    <n v="82"/>
    <x v="0"/>
  </r>
  <r>
    <x v="47"/>
    <s v="EU-Cyprus"/>
    <s v="LL"/>
    <x v="1"/>
    <n v="98"/>
    <x v="0"/>
  </r>
  <r>
    <x v="48"/>
    <s v="EU-Cyprus"/>
    <s v="LL"/>
    <x v="1"/>
    <n v="72"/>
    <x v="0"/>
  </r>
  <r>
    <x v="49"/>
    <s v="EU-Cyprus"/>
    <s v="LL"/>
    <x v="1"/>
    <n v="78"/>
    <x v="0"/>
  </r>
  <r>
    <x v="50"/>
    <s v="EU-Cyprus"/>
    <s v="LL"/>
    <x v="1"/>
    <n v="103"/>
    <x v="0"/>
  </r>
  <r>
    <x v="51"/>
    <s v="EU-Cyprus"/>
    <s v="LL"/>
    <x v="1"/>
    <n v="28"/>
    <x v="0"/>
  </r>
  <r>
    <x v="52"/>
    <s v="EU-Cyprus"/>
    <s v="LL"/>
    <x v="1"/>
    <n v="63"/>
    <x v="0"/>
  </r>
  <r>
    <x v="53"/>
    <s v="EU-Cyprus"/>
    <s v="LL"/>
    <x v="1"/>
    <n v="71"/>
    <x v="0"/>
  </r>
  <r>
    <x v="54"/>
    <s v="EU-Cyprus"/>
    <s v="LL"/>
    <x v="1"/>
    <n v="154"/>
    <x v="0"/>
  </r>
  <r>
    <x v="55"/>
    <s v="EU-Cyprus"/>
    <s v="LL"/>
    <x v="1"/>
    <n v="84"/>
    <x v="0"/>
  </r>
  <r>
    <x v="56"/>
    <s v="EU-Cyprus"/>
    <s v="LL"/>
    <x v="1"/>
    <n v="121"/>
    <x v="0"/>
  </r>
  <r>
    <x v="21"/>
    <s v="EU-Cyprus"/>
    <s v="LL"/>
    <x v="1"/>
    <n v="139"/>
    <x v="0"/>
  </r>
  <r>
    <x v="22"/>
    <s v="EU-Cyprus"/>
    <s v="LL"/>
    <x v="1"/>
    <n v="173"/>
    <x v="0"/>
  </r>
  <r>
    <x v="23"/>
    <s v="EU-Cyprus"/>
    <s v="LL"/>
    <x v="1"/>
    <n v="162"/>
    <x v="0"/>
  </r>
  <r>
    <x v="24"/>
    <s v="EU-Cyprus"/>
    <s v="LL"/>
    <x v="1"/>
    <n v="56.2"/>
    <x v="0"/>
  </r>
  <r>
    <x v="57"/>
    <s v="EU-Cyprus"/>
    <s v="LL"/>
    <x v="1"/>
    <n v="116"/>
    <x v="0"/>
  </r>
  <r>
    <x v="58"/>
    <s v="EU-Cyprus"/>
    <s v="LL"/>
    <x v="1"/>
    <n v="159"/>
    <x v="0"/>
  </r>
  <r>
    <x v="59"/>
    <s v="EU-Cyprus"/>
    <s v="LL"/>
    <x v="1"/>
    <n v="89"/>
    <x v="0"/>
  </r>
  <r>
    <x v="60"/>
    <s v="EU-Cyprus"/>
    <s v="LL"/>
    <x v="1"/>
    <n v="40"/>
    <x v="0"/>
  </r>
  <r>
    <x v="61"/>
    <s v="EU-Cyprus"/>
    <s v="LL"/>
    <x v="1"/>
    <n v="51"/>
    <x v="0"/>
  </r>
  <r>
    <x v="62"/>
    <s v="EU-Cyprus"/>
    <s v="LL"/>
    <x v="1"/>
    <n v="61"/>
    <x v="0"/>
  </r>
  <r>
    <x v="63"/>
    <s v="EU-Cyprus"/>
    <s v="LL"/>
    <x v="1"/>
    <n v="92"/>
    <x v="0"/>
  </r>
  <r>
    <x v="64"/>
    <s v="EU-Cyprus"/>
    <s v="LL"/>
    <x v="1"/>
    <n v="82.334999999999994"/>
    <x v="0"/>
  </r>
  <r>
    <x v="65"/>
    <s v="EU-Cyprus"/>
    <s v="LL"/>
    <x v="1"/>
    <n v="135.322"/>
    <x v="0"/>
  </r>
  <r>
    <x v="66"/>
    <s v="EU-Cyprus"/>
    <s v="LL"/>
    <x v="1"/>
    <n v="103.584"/>
    <x v="0"/>
  </r>
  <r>
    <x v="67"/>
    <s v="EU-Cyprus"/>
    <s v="LL"/>
    <x v="1"/>
    <n v="47.404000000000003"/>
    <x v="0"/>
  </r>
  <r>
    <x v="17"/>
    <s v="EU-Cyprus"/>
    <s v="LL"/>
    <x v="1"/>
    <n v="49.112000000000002"/>
    <x v="0"/>
  </r>
  <r>
    <x v="18"/>
    <s v="EU-Cyprus"/>
    <s v="LL"/>
    <x v="1"/>
    <n v="52.781999999999996"/>
    <x v="0"/>
  </r>
  <r>
    <x v="19"/>
    <s v="EU-Cyprus"/>
    <s v="LL"/>
    <x v="1"/>
    <n v="42.683999999999997"/>
    <x v="0"/>
  </r>
  <r>
    <x v="20"/>
    <s v="EU-Cyprus"/>
    <s v="LL"/>
    <x v="1"/>
    <n v="67.412000000000006"/>
    <x v="0"/>
  </r>
  <r>
    <x v="9"/>
    <s v="EU-Cyprus"/>
    <s v="LL"/>
    <x v="1"/>
    <n v="66.620999999999995"/>
    <x v="0"/>
  </r>
  <r>
    <x v="10"/>
    <s v="EU-Cyprus"/>
    <s v="LL"/>
    <x v="1"/>
    <n v="37.771000000000001"/>
    <x v="0"/>
  </r>
  <r>
    <x v="11"/>
    <s v="EU-Cyprus"/>
    <s v="LL"/>
    <x v="1"/>
    <n v="31.056999999999999"/>
    <x v="0"/>
  </r>
  <r>
    <x v="4"/>
    <s v="EU-Cyprus"/>
    <s v="LL"/>
    <x v="1"/>
    <n v="34.61"/>
    <x v="0"/>
  </r>
  <r>
    <x v="12"/>
    <s v="EU-Cyprus"/>
    <s v="LL"/>
    <x v="1"/>
    <n v="35.253999999999998"/>
    <x v="0"/>
  </r>
  <r>
    <x v="13"/>
    <s v="EU-Cyprus"/>
    <s v="LL"/>
    <x v="1"/>
    <n v="51.484999999999999"/>
    <x v="0"/>
  </r>
  <r>
    <x v="3"/>
    <s v="EU-Cyprus"/>
    <s v="LL"/>
    <x v="1"/>
    <n v="58.628"/>
    <x v="0"/>
  </r>
  <r>
    <x v="5"/>
    <s v="EU-Cyprus"/>
    <s v="LL"/>
    <x v="1"/>
    <n v="53.93"/>
    <x v="0"/>
  </r>
  <r>
    <x v="14"/>
    <s v="EU-Cyprus"/>
    <s v="LL"/>
    <x v="1"/>
    <n v="52.825000000000003"/>
    <x v="0"/>
  </r>
  <r>
    <x v="15"/>
    <s v="EU-Cyprus"/>
    <s v="LL"/>
    <x v="1"/>
    <n v="49.598999999999997"/>
    <x v="0"/>
  </r>
  <r>
    <x v="6"/>
    <s v="EU-Cyprus"/>
    <s v="LL"/>
    <x v="1"/>
    <n v="45.427"/>
    <x v="0"/>
  </r>
  <r>
    <x v="7"/>
    <s v="EU-Cyprus"/>
    <s v="LL"/>
    <x v="1"/>
    <n v="24.071000000000002"/>
    <x v="0"/>
  </r>
  <r>
    <x v="16"/>
    <s v="EU-Cyprus"/>
    <s v="LL"/>
    <x v="1"/>
    <n v="29.925000000000001"/>
    <x v="0"/>
  </r>
  <r>
    <x v="8"/>
    <s v="EU-Cyprus"/>
    <s v="LL"/>
    <x v="1"/>
    <n v="55.695"/>
    <x v="0"/>
  </r>
  <r>
    <x v="0"/>
    <s v="EU-Cyprus"/>
    <s v="LL"/>
    <x v="1"/>
    <n v="36.220041999999999"/>
    <x v="0"/>
  </r>
  <r>
    <x v="1"/>
    <s v="EU-Cyprus"/>
    <s v="LL"/>
    <x v="1"/>
    <n v="57.376330000000003"/>
    <x v="0"/>
  </r>
  <r>
    <x v="2"/>
    <s v="EU-Cyprus"/>
    <s v="LL"/>
    <x v="1"/>
    <n v="61.404992"/>
    <x v="0"/>
  </r>
  <r>
    <x v="65"/>
    <s v="EU-France"/>
    <s v="LL"/>
    <x v="1"/>
    <n v="12"/>
    <x v="0"/>
  </r>
  <r>
    <x v="66"/>
    <s v="EU-France"/>
    <s v="LL"/>
    <x v="1"/>
    <n v="27"/>
    <x v="0"/>
  </r>
  <r>
    <x v="67"/>
    <s v="EU-France"/>
    <s v="LL"/>
    <x v="1"/>
    <n v="19.5"/>
    <x v="0"/>
  </r>
  <r>
    <x v="17"/>
    <s v="EU-France"/>
    <s v="LL"/>
    <x v="1"/>
    <n v="19"/>
    <x v="0"/>
  </r>
  <r>
    <x v="18"/>
    <s v="EU-France"/>
    <s v="LL"/>
    <x v="1"/>
    <n v="21.832999999999998"/>
    <x v="0"/>
  </r>
  <r>
    <x v="19"/>
    <s v="EU-France"/>
    <s v="LL"/>
    <x v="1"/>
    <n v="20.111000000000001"/>
    <x v="0"/>
  </r>
  <r>
    <x v="20"/>
    <s v="EU-France"/>
    <s v="LL"/>
    <x v="1"/>
    <n v="14.032"/>
    <x v="0"/>
  </r>
  <r>
    <x v="9"/>
    <s v="EU-France"/>
    <s v="LL"/>
    <x v="1"/>
    <n v="14.054"/>
    <x v="0"/>
  </r>
  <r>
    <x v="10"/>
    <s v="EU-France"/>
    <s v="LL"/>
    <x v="1"/>
    <n v="10.195880000000001"/>
    <x v="0"/>
  </r>
  <r>
    <x v="11"/>
    <s v="EU-France"/>
    <s v="LL"/>
    <x v="1"/>
    <n v="72.523889999999994"/>
    <x v="0"/>
  </r>
  <r>
    <x v="4"/>
    <s v="EU-France"/>
    <s v="LL"/>
    <x v="1"/>
    <n v="39.250880000000002"/>
    <x v="0"/>
  </r>
  <r>
    <x v="12"/>
    <s v="EU-France"/>
    <s v="LL"/>
    <x v="1"/>
    <n v="9.6074999999999999"/>
    <x v="0"/>
  </r>
  <r>
    <x v="13"/>
    <s v="EU-France"/>
    <s v="LL"/>
    <x v="1"/>
    <n v="57.512300000000003"/>
    <x v="0"/>
  </r>
  <r>
    <x v="3"/>
    <s v="EU-France"/>
    <s v="LL"/>
    <x v="1"/>
    <n v="118.91691"/>
    <x v="0"/>
  </r>
  <r>
    <x v="5"/>
    <s v="EU-France"/>
    <s v="LL"/>
    <x v="1"/>
    <n v="178.39831000000001"/>
    <x v="0"/>
  </r>
  <r>
    <x v="14"/>
    <s v="EU-France"/>
    <s v="LL"/>
    <x v="1"/>
    <n v="171.67107999999999"/>
    <x v="0"/>
  </r>
  <r>
    <x v="15"/>
    <s v="EU-France"/>
    <s v="LL"/>
    <x v="1"/>
    <n v="107.703"/>
    <x v="0"/>
  </r>
  <r>
    <x v="6"/>
    <s v="EU-France"/>
    <s v="LL"/>
    <x v="1"/>
    <n v="83.316999999999993"/>
    <x v="0"/>
  </r>
  <r>
    <x v="7"/>
    <s v="EU-France"/>
    <s v="LL"/>
    <x v="1"/>
    <n v="68.927189999999996"/>
    <x v="0"/>
  </r>
  <r>
    <x v="16"/>
    <s v="EU-France"/>
    <s v="LL"/>
    <x v="1"/>
    <n v="104.28287899999999"/>
    <x v="0"/>
  </r>
  <r>
    <x v="8"/>
    <s v="EU-France"/>
    <s v="LL"/>
    <x v="1"/>
    <n v="91.123508999999999"/>
    <x v="0"/>
  </r>
  <r>
    <x v="0"/>
    <s v="EU-France"/>
    <s v="LL"/>
    <x v="1"/>
    <n v="59.919626999999998"/>
    <x v="0"/>
  </r>
  <r>
    <x v="1"/>
    <s v="EU-France"/>
    <s v="LL"/>
    <x v="1"/>
    <n v="63.836956999999998"/>
    <x v="0"/>
  </r>
  <r>
    <x v="2"/>
    <s v="EU-France"/>
    <s v="LL"/>
    <x v="1"/>
    <n v="74.999312000000003"/>
    <x v="0"/>
  </r>
  <r>
    <x v="49"/>
    <s v="EU-Greece"/>
    <s v="LL"/>
    <x v="1"/>
    <n v="91"/>
    <x v="0"/>
  </r>
  <r>
    <x v="50"/>
    <s v="EU-Greece"/>
    <s v="LL"/>
    <x v="1"/>
    <n v="773"/>
    <x v="0"/>
  </r>
  <r>
    <x v="51"/>
    <s v="EU-Greece"/>
    <s v="LL"/>
    <x v="1"/>
    <n v="772"/>
    <x v="0"/>
  </r>
  <r>
    <x v="52"/>
    <s v="EU-Greece"/>
    <s v="LL"/>
    <x v="1"/>
    <n v="1081"/>
    <x v="0"/>
  </r>
  <r>
    <x v="53"/>
    <s v="EU-Greece"/>
    <s v="LL"/>
    <x v="1"/>
    <n v="1036"/>
    <x v="0"/>
  </r>
  <r>
    <x v="54"/>
    <s v="EU-Greece"/>
    <s v="LL"/>
    <x v="1"/>
    <n v="1714"/>
    <x v="0"/>
  </r>
  <r>
    <x v="55"/>
    <s v="EU-Greece"/>
    <s v="LL"/>
    <x v="1"/>
    <n v="1303"/>
    <x v="0"/>
  </r>
  <r>
    <x v="56"/>
    <s v="EU-Greece"/>
    <s v="LL"/>
    <x v="1"/>
    <n v="1008"/>
    <x v="0"/>
  </r>
  <r>
    <x v="21"/>
    <s v="EU-Greece"/>
    <s v="LL"/>
    <x v="1"/>
    <n v="1120"/>
    <x v="0"/>
  </r>
  <r>
    <x v="22"/>
    <s v="EU-Greece"/>
    <s v="LL"/>
    <x v="1"/>
    <n v="1344"/>
    <x v="0"/>
  </r>
  <r>
    <x v="23"/>
    <s v="EU-Greece"/>
    <s v="LL"/>
    <x v="1"/>
    <n v="1904"/>
    <x v="0"/>
  </r>
  <r>
    <x v="24"/>
    <s v="EU-Greece"/>
    <s v="LL"/>
    <x v="1"/>
    <n v="1456"/>
    <x v="0"/>
  </r>
  <r>
    <x v="57"/>
    <s v="EU-Greece"/>
    <s v="LL"/>
    <x v="1"/>
    <n v="1568"/>
    <x v="0"/>
  </r>
  <r>
    <x v="58"/>
    <s v="EU-Greece"/>
    <s v="LL"/>
    <x v="1"/>
    <n v="2520"/>
    <x v="0"/>
  </r>
  <r>
    <x v="59"/>
    <s v="EU-Greece"/>
    <s v="LL"/>
    <x v="1"/>
    <n v="974"/>
    <x v="0"/>
  </r>
  <r>
    <x v="60"/>
    <s v="EU-Greece"/>
    <s v="LL"/>
    <x v="1"/>
    <n v="1237"/>
    <x v="0"/>
  </r>
  <r>
    <x v="61"/>
    <s v="EU-Greece"/>
    <s v="LL"/>
    <x v="1"/>
    <n v="750"/>
    <x v="0"/>
  </r>
  <r>
    <x v="62"/>
    <s v="EU-Greece"/>
    <s v="LL"/>
    <x v="1"/>
    <n v="1650"/>
    <x v="0"/>
  </r>
  <r>
    <x v="63"/>
    <s v="EU-Greece"/>
    <s v="LL"/>
    <x v="1"/>
    <n v="1520"/>
    <x v="0"/>
  </r>
  <r>
    <x v="64"/>
    <s v="EU-Greece"/>
    <s v="LL"/>
    <x v="1"/>
    <n v="1960"/>
    <x v="0"/>
  </r>
  <r>
    <x v="65"/>
    <s v="EU-Greece"/>
    <s v="LL"/>
    <x v="1"/>
    <n v="1730"/>
    <x v="0"/>
  </r>
  <r>
    <x v="66"/>
    <s v="EU-Greece"/>
    <s v="LL"/>
    <x v="1"/>
    <n v="1680"/>
    <x v="0"/>
  </r>
  <r>
    <x v="67"/>
    <s v="EU-Greece"/>
    <s v="LL"/>
    <x v="1"/>
    <n v="1230"/>
    <x v="0"/>
  </r>
  <r>
    <x v="17"/>
    <s v="EU-Greece"/>
    <s v="LL"/>
    <x v="1"/>
    <n v="1120.3"/>
    <x v="0"/>
  </r>
  <r>
    <x v="18"/>
    <s v="EU-Greece"/>
    <s v="LL"/>
    <x v="1"/>
    <n v="1310.7"/>
    <x v="0"/>
  </r>
  <r>
    <x v="19"/>
    <s v="EU-Greece"/>
    <s v="LL"/>
    <x v="1"/>
    <n v="1358.3"/>
    <x v="0"/>
  </r>
  <r>
    <x v="20"/>
    <s v="EU-Greece"/>
    <s v="LL"/>
    <x v="1"/>
    <n v="1887.4839999999999"/>
    <x v="0"/>
  </r>
  <r>
    <x v="9"/>
    <s v="EU-Greece"/>
    <s v="LL"/>
    <x v="1"/>
    <n v="961.98500000000001"/>
    <x v="0"/>
  </r>
  <r>
    <x v="10"/>
    <s v="EU-Greece"/>
    <s v="LL"/>
    <x v="1"/>
    <n v="1131.7349999999999"/>
    <x v="0"/>
  </r>
  <r>
    <x v="11"/>
    <s v="EU-Greece"/>
    <s v="LL"/>
    <x v="1"/>
    <n v="1493.998"/>
    <x v="0"/>
  </r>
  <r>
    <x v="4"/>
    <s v="EU-Greece"/>
    <s v="LL"/>
    <x v="1"/>
    <n v="1306.3140000000001"/>
    <x v="0"/>
  </r>
  <r>
    <x v="12"/>
    <s v="EU-Greece"/>
    <s v="LL"/>
    <x v="1"/>
    <n v="877.31"/>
    <x v="0"/>
  </r>
  <r>
    <x v="13"/>
    <s v="EU-Greece"/>
    <s v="LL"/>
    <x v="1"/>
    <n v="1730.5239999999999"/>
    <x v="0"/>
  </r>
  <r>
    <x v="3"/>
    <s v="EU-Greece"/>
    <s v="LL"/>
    <x v="1"/>
    <n v="1343.856"/>
    <x v="0"/>
  </r>
  <r>
    <x v="5"/>
    <s v="EU-Greece"/>
    <s v="LL"/>
    <x v="1"/>
    <n v="760.68"/>
    <x v="0"/>
  </r>
  <r>
    <x v="14"/>
    <s v="EU-Greece"/>
    <s v="LL"/>
    <x v="1"/>
    <n v="760.77099999999996"/>
    <x v="0"/>
  </r>
  <r>
    <x v="15"/>
    <s v="EU-Greece"/>
    <s v="LL"/>
    <x v="1"/>
    <n v="391.9"/>
    <x v="0"/>
  </r>
  <r>
    <x v="6"/>
    <s v="EU-Greece"/>
    <s v="LL"/>
    <x v="1"/>
    <n v="350.17799000000002"/>
    <x v="0"/>
  </r>
  <r>
    <x v="7"/>
    <s v="EU-Greece"/>
    <s v="LL"/>
    <x v="1"/>
    <n v="744.79082000000005"/>
    <x v="0"/>
  </r>
  <r>
    <x v="16"/>
    <s v="EU-Greece"/>
    <s v="LL"/>
    <x v="1"/>
    <n v="657.08456000000001"/>
    <x v="0"/>
  </r>
  <r>
    <x v="8"/>
    <s v="EU-Greece"/>
    <s v="LL"/>
    <x v="1"/>
    <n v="685.51244999999994"/>
    <x v="0"/>
  </r>
  <r>
    <x v="0"/>
    <s v="EU-Greece"/>
    <s v="LL"/>
    <x v="1"/>
    <n v="370.62200000000001"/>
    <x v="0"/>
  </r>
  <r>
    <x v="1"/>
    <s v="EU-Greece"/>
    <s v="LL"/>
    <x v="1"/>
    <n v="444.04953999999998"/>
    <x v="0"/>
  </r>
  <r>
    <x v="2"/>
    <s v="EU-Greece"/>
    <s v="LL"/>
    <x v="1"/>
    <n v="500.95114000000001"/>
    <x v="0"/>
  </r>
  <r>
    <x v="36"/>
    <s v="EU-Italy"/>
    <s v="LL"/>
    <x v="1"/>
    <n v="1373.96"/>
    <x v="0"/>
  </r>
  <r>
    <x v="37"/>
    <s v="EU-Italy"/>
    <s v="LL"/>
    <x v="1"/>
    <n v="1962.8"/>
    <x v="0"/>
  </r>
  <r>
    <x v="38"/>
    <s v="EU-Italy"/>
    <s v="LL"/>
    <x v="1"/>
    <n v="1766.52"/>
    <x v="0"/>
  </r>
  <r>
    <x v="39"/>
    <s v="EU-Italy"/>
    <s v="LL"/>
    <x v="1"/>
    <n v="2846.06"/>
    <x v="0"/>
  </r>
  <r>
    <x v="40"/>
    <s v="EU-Italy"/>
    <s v="LL"/>
    <x v="1"/>
    <n v="3631.18"/>
    <x v="0"/>
  </r>
  <r>
    <x v="41"/>
    <s v="EU-Italy"/>
    <s v="LL"/>
    <x v="1"/>
    <n v="2747.92"/>
    <x v="0"/>
  </r>
  <r>
    <x v="42"/>
    <s v="EU-Italy"/>
    <s v="LL"/>
    <x v="1"/>
    <n v="3268.413"/>
    <x v="0"/>
  </r>
  <r>
    <x v="43"/>
    <s v="EU-Italy"/>
    <s v="LL"/>
    <x v="1"/>
    <n v="2945.953"/>
    <x v="0"/>
  </r>
  <r>
    <x v="44"/>
    <s v="EU-Italy"/>
    <s v="LL"/>
    <x v="1"/>
    <n v="3435"/>
    <x v="0"/>
  </r>
  <r>
    <x v="45"/>
    <s v="EU-Italy"/>
    <s v="LL"/>
    <x v="1"/>
    <n v="3330"/>
    <x v="0"/>
  </r>
  <r>
    <x v="46"/>
    <s v="EU-Italy"/>
    <s v="LL"/>
    <x v="1"/>
    <n v="3750"/>
    <x v="0"/>
  </r>
  <r>
    <x v="47"/>
    <s v="EU-Italy"/>
    <s v="LL"/>
    <x v="1"/>
    <n v="3455"/>
    <x v="0"/>
  </r>
  <r>
    <x v="48"/>
    <s v="EU-Italy"/>
    <s v="LL"/>
    <x v="1"/>
    <n v="3642"/>
    <x v="0"/>
  </r>
  <r>
    <x v="49"/>
    <s v="EU-Italy"/>
    <s v="LL"/>
    <x v="1"/>
    <n v="3362"/>
    <x v="0"/>
  </r>
  <r>
    <x v="50"/>
    <s v="EU-Italy"/>
    <s v="LL"/>
    <x v="1"/>
    <n v="2583"/>
    <x v="0"/>
  </r>
  <r>
    <x v="51"/>
    <s v="EU-Italy"/>
    <s v="LL"/>
    <x v="1"/>
    <n v="2660"/>
    <x v="0"/>
  </r>
  <r>
    <x v="52"/>
    <s v="EU-Italy"/>
    <s v="LL"/>
    <x v="1"/>
    <n v="2719.0178999999998"/>
    <x v="0"/>
  </r>
  <r>
    <x v="53"/>
    <s v="EU-Italy"/>
    <s v="LL"/>
    <x v="1"/>
    <n v="3169.4832999999999"/>
    <x v="0"/>
  </r>
  <r>
    <x v="54"/>
    <s v="EU-Italy"/>
    <s v="LL"/>
    <x v="1"/>
    <n v="3283.3314999999998"/>
    <x v="0"/>
  </r>
  <r>
    <x v="55"/>
    <s v="EU-Italy"/>
    <s v="LL"/>
    <x v="1"/>
    <n v="3600.1037000000001"/>
    <x v="0"/>
  </r>
  <r>
    <x v="56"/>
    <s v="EU-Italy"/>
    <s v="LL"/>
    <x v="1"/>
    <n v="3762.5079999999998"/>
    <x v="0"/>
  </r>
  <r>
    <x v="21"/>
    <s v="EU-Italy"/>
    <s v="LL"/>
    <x v="1"/>
    <n v="3799.2424999999998"/>
    <x v="0"/>
  </r>
  <r>
    <x v="22"/>
    <s v="EU-Italy"/>
    <s v="LL"/>
    <x v="1"/>
    <n v="2616.518"/>
    <x v="0"/>
  </r>
  <r>
    <x v="23"/>
    <s v="EU-Italy"/>
    <s v="LL"/>
    <x v="1"/>
    <n v="2442.1563000000001"/>
    <x v="0"/>
  </r>
  <r>
    <x v="24"/>
    <s v="EU-Italy"/>
    <s v="LL"/>
    <x v="1"/>
    <n v="3518"/>
    <x v="0"/>
  </r>
  <r>
    <x v="57"/>
    <s v="EU-Italy"/>
    <s v="LL"/>
    <x v="1"/>
    <n v="3260"/>
    <x v="0"/>
  </r>
  <r>
    <x v="58"/>
    <s v="EU-Italy"/>
    <s v="LL"/>
    <x v="1"/>
    <n v="3844"/>
    <x v="0"/>
  </r>
  <r>
    <x v="59"/>
    <s v="EU-Italy"/>
    <s v="LL"/>
    <x v="1"/>
    <n v="3035"/>
    <x v="0"/>
  </r>
  <r>
    <x v="60"/>
    <s v="EU-Italy"/>
    <s v="LL"/>
    <x v="1"/>
    <n v="2617"/>
    <x v="0"/>
  </r>
  <r>
    <x v="61"/>
    <s v="EU-Italy"/>
    <s v="LL"/>
    <x v="1"/>
    <n v="2458"/>
    <x v="0"/>
  </r>
  <r>
    <x v="62"/>
    <s v="EU-Italy"/>
    <s v="LL"/>
    <x v="1"/>
    <n v="2458"/>
    <x v="0"/>
  </r>
  <r>
    <x v="63"/>
    <s v="EU-Italy"/>
    <s v="LL"/>
    <x v="1"/>
    <n v="2680"/>
    <x v="0"/>
  </r>
  <r>
    <x v="64"/>
    <s v="EU-Italy"/>
    <s v="LL"/>
    <x v="1"/>
    <n v="2639"/>
    <x v="0"/>
  </r>
  <r>
    <x v="65"/>
    <s v="EU-Italy"/>
    <s v="LL"/>
    <x v="1"/>
    <n v="2236"/>
    <x v="0"/>
  </r>
  <r>
    <x v="66"/>
    <s v="EU-Italy"/>
    <s v="LL"/>
    <x v="1"/>
    <n v="1841"/>
    <x v="0"/>
  </r>
  <r>
    <x v="67"/>
    <s v="EU-Italy"/>
    <s v="LL"/>
    <x v="1"/>
    <n v="5844.23"/>
    <x v="0"/>
  </r>
  <r>
    <x v="17"/>
    <s v="EU-Italy"/>
    <s v="LL"/>
    <x v="1"/>
    <n v="5451.57"/>
    <x v="0"/>
  </r>
  <r>
    <x v="18"/>
    <s v="EU-Italy"/>
    <s v="LL"/>
    <x v="1"/>
    <n v="5559.76"/>
    <x v="0"/>
  </r>
  <r>
    <x v="19"/>
    <s v="EU-Italy"/>
    <s v="LL"/>
    <x v="1"/>
    <n v="5253"/>
    <x v="0"/>
  </r>
  <r>
    <x v="20"/>
    <s v="EU-Italy"/>
    <s v="LL"/>
    <x v="1"/>
    <n v="4563.68"/>
    <x v="0"/>
  </r>
  <r>
    <x v="9"/>
    <s v="EU-Italy"/>
    <s v="LL"/>
    <x v="1"/>
    <n v="4521.2118799999998"/>
    <x v="0"/>
  </r>
  <r>
    <x v="10"/>
    <s v="EU-Italy"/>
    <s v="LL"/>
    <x v="1"/>
    <n v="4686.5996999999998"/>
    <x v="0"/>
  </r>
  <r>
    <x v="11"/>
    <s v="EU-Italy"/>
    <s v="LL"/>
    <x v="1"/>
    <n v="5101.2962600000001"/>
    <x v="0"/>
  </r>
  <r>
    <x v="4"/>
    <s v="EU-Italy"/>
    <s v="LL"/>
    <x v="1"/>
    <n v="4579.1946399999997"/>
    <x v="0"/>
  </r>
  <r>
    <x v="12"/>
    <s v="EU-Italy"/>
    <s v="LL"/>
    <x v="1"/>
    <n v="3856.3470390000002"/>
    <x v="0"/>
  </r>
  <r>
    <x v="13"/>
    <s v="EU-Italy"/>
    <s v="LL"/>
    <x v="1"/>
    <n v="2847.6283509999998"/>
    <x v="0"/>
  </r>
  <r>
    <x v="3"/>
    <s v="EU-Italy"/>
    <s v="LL"/>
    <x v="1"/>
    <n v="3383.5207999999998"/>
    <x v="0"/>
  </r>
  <r>
    <x v="5"/>
    <s v="EU-Italy"/>
    <s v="LL"/>
    <x v="1"/>
    <n v="4213.2501000000002"/>
    <x v="0"/>
  </r>
  <r>
    <x v="14"/>
    <s v="EU-Italy"/>
    <s v="LL"/>
    <x v="1"/>
    <n v="3916.9993800000002"/>
    <x v="0"/>
  </r>
  <r>
    <x v="15"/>
    <s v="EU-Italy"/>
    <s v="LL"/>
    <x v="1"/>
    <n v="2974.4026600000002"/>
    <x v="0"/>
  </r>
  <r>
    <x v="6"/>
    <s v="EU-Italy"/>
    <s v="LL"/>
    <x v="1"/>
    <n v="1753.5836200000001"/>
    <x v="0"/>
  </r>
  <r>
    <x v="7"/>
    <s v="EU-Italy"/>
    <s v="LL"/>
    <x v="1"/>
    <n v="2460.9859999999999"/>
    <x v="0"/>
  </r>
  <r>
    <x v="16"/>
    <s v="EU-Italy"/>
    <s v="LL"/>
    <x v="1"/>
    <n v="2231.3219800000002"/>
    <x v="0"/>
  </r>
  <r>
    <x v="8"/>
    <s v="EU-Italy"/>
    <s v="LL"/>
    <x v="1"/>
    <n v="1998.4359999999999"/>
    <x v="0"/>
  </r>
  <r>
    <x v="0"/>
    <s v="EU-Italy"/>
    <s v="LL"/>
    <x v="1"/>
    <n v="2038.23"/>
    <x v="0"/>
  </r>
  <r>
    <x v="1"/>
    <s v="EU-Italy"/>
    <s v="LL"/>
    <x v="1"/>
    <n v="2297.46"/>
    <x v="0"/>
  </r>
  <r>
    <x v="2"/>
    <s v="EU-Italy"/>
    <s v="LL"/>
    <x v="1"/>
    <n v="3066.2249999999999"/>
    <x v="0"/>
  </r>
  <r>
    <x v="38"/>
    <s v="EU-Malta"/>
    <s v="LL"/>
    <x v="1"/>
    <n v="112"/>
    <x v="0"/>
  </r>
  <r>
    <x v="39"/>
    <s v="EU-Malta"/>
    <s v="LL"/>
    <x v="1"/>
    <n v="224"/>
    <x v="0"/>
  </r>
  <r>
    <x v="40"/>
    <s v="EU-Malta"/>
    <s v="LL"/>
    <x v="1"/>
    <n v="224"/>
    <x v="0"/>
  </r>
  <r>
    <x v="41"/>
    <s v="EU-Malta"/>
    <s v="LL"/>
    <x v="1"/>
    <n v="224"/>
    <x v="0"/>
  </r>
  <r>
    <x v="42"/>
    <s v="EU-Malta"/>
    <s v="LL"/>
    <x v="1"/>
    <n v="192"/>
    <x v="0"/>
  </r>
  <r>
    <x v="43"/>
    <s v="EU-Malta"/>
    <s v="LL"/>
    <x v="1"/>
    <n v="214"/>
    <x v="0"/>
  </r>
  <r>
    <x v="44"/>
    <s v="EU-Malta"/>
    <s v="LL"/>
    <x v="1"/>
    <n v="175"/>
    <x v="0"/>
  </r>
  <r>
    <x v="45"/>
    <s v="EU-Malta"/>
    <s v="LL"/>
    <x v="1"/>
    <n v="223"/>
    <x v="0"/>
  </r>
  <r>
    <x v="46"/>
    <s v="EU-Malta"/>
    <s v="LL"/>
    <x v="1"/>
    <n v="136"/>
    <x v="0"/>
  </r>
  <r>
    <x v="47"/>
    <s v="EU-Malta"/>
    <s v="LL"/>
    <x v="1"/>
    <n v="151"/>
    <x v="0"/>
  </r>
  <r>
    <x v="48"/>
    <s v="EU-Malta"/>
    <s v="LL"/>
    <x v="1"/>
    <n v="222"/>
    <x v="0"/>
  </r>
  <r>
    <x v="49"/>
    <s v="EU-Malta"/>
    <s v="LL"/>
    <x v="1"/>
    <n v="192"/>
    <x v="0"/>
  </r>
  <r>
    <x v="50"/>
    <s v="EU-Malta"/>
    <s v="LL"/>
    <x v="1"/>
    <n v="177"/>
    <x v="0"/>
  </r>
  <r>
    <x v="51"/>
    <s v="EU-Malta"/>
    <s v="LL"/>
    <x v="1"/>
    <n v="59.375999999999998"/>
    <x v="0"/>
  </r>
  <r>
    <x v="52"/>
    <s v="EU-Malta"/>
    <s v="LL"/>
    <x v="1"/>
    <n v="93.576999999999998"/>
    <x v="0"/>
  </r>
  <r>
    <x v="53"/>
    <s v="EU-Malta"/>
    <s v="LL"/>
    <x v="1"/>
    <n v="171.964"/>
    <x v="0"/>
  </r>
  <r>
    <x v="54"/>
    <s v="EU-Malta"/>
    <s v="LL"/>
    <x v="1"/>
    <n v="143.86000000000001"/>
    <x v="0"/>
  </r>
  <r>
    <x v="55"/>
    <s v="EU-Malta"/>
    <s v="LL"/>
    <x v="1"/>
    <n v="163.01"/>
    <x v="0"/>
  </r>
  <r>
    <x v="56"/>
    <s v="EU-Malta"/>
    <s v="LL"/>
    <x v="1"/>
    <n v="233.376"/>
    <x v="0"/>
  </r>
  <r>
    <x v="21"/>
    <s v="EU-Malta"/>
    <s v="LL"/>
    <x v="1"/>
    <n v="121.89100000000001"/>
    <x v="0"/>
  </r>
  <r>
    <x v="22"/>
    <s v="EU-Malta"/>
    <s v="LL"/>
    <x v="1"/>
    <n v="134.50399999999999"/>
    <x v="0"/>
  </r>
  <r>
    <x v="23"/>
    <s v="EU-Malta"/>
    <s v="LL"/>
    <x v="1"/>
    <n v="129.27699999999999"/>
    <x v="0"/>
  </r>
  <r>
    <x v="24"/>
    <s v="EU-Malta"/>
    <s v="LL"/>
    <x v="1"/>
    <n v="85.218999999999994"/>
    <x v="0"/>
  </r>
  <r>
    <x v="57"/>
    <s v="EU-Malta"/>
    <s v="LL"/>
    <x v="1"/>
    <n v="90.866"/>
    <x v="0"/>
  </r>
  <r>
    <x v="58"/>
    <s v="EU-Malta"/>
    <s v="LL"/>
    <x v="1"/>
    <n v="47.213999999999999"/>
    <x v="0"/>
  </r>
  <r>
    <x v="59"/>
    <s v="EU-Malta"/>
    <s v="LL"/>
    <x v="1"/>
    <n v="71.707999999999998"/>
    <x v="0"/>
  </r>
  <r>
    <x v="60"/>
    <s v="EU-Malta"/>
    <s v="LL"/>
    <x v="1"/>
    <n v="71.811000000000007"/>
    <x v="0"/>
  </r>
  <r>
    <x v="61"/>
    <s v="EU-Malta"/>
    <s v="LL"/>
    <x v="1"/>
    <n v="100.346"/>
    <x v="0"/>
  </r>
  <r>
    <x v="62"/>
    <s v="EU-Malta"/>
    <s v="LL"/>
    <x v="1"/>
    <n v="152.86500000000001"/>
    <x v="0"/>
  </r>
  <r>
    <x v="63"/>
    <s v="EU-Malta"/>
    <s v="LL"/>
    <x v="1"/>
    <n v="186.93700000000001"/>
    <x v="0"/>
  </r>
  <r>
    <x v="64"/>
    <s v="EU-Malta"/>
    <s v="LL"/>
    <x v="1"/>
    <n v="175.24199999999999"/>
    <x v="0"/>
  </r>
  <r>
    <x v="65"/>
    <s v="EU-Malta"/>
    <s v="LL"/>
    <x v="1"/>
    <n v="101.581"/>
    <x v="0"/>
  </r>
  <r>
    <x v="66"/>
    <s v="EU-Malta"/>
    <s v="LL"/>
    <x v="1"/>
    <n v="257"/>
    <x v="0"/>
  </r>
  <r>
    <x v="67"/>
    <s v="EU-Malta"/>
    <s v="LL"/>
    <x v="1"/>
    <n v="162.51599999999999"/>
    <x v="0"/>
  </r>
  <r>
    <x v="17"/>
    <s v="EU-Malta"/>
    <s v="LL"/>
    <x v="1"/>
    <n v="195.26300000000001"/>
    <x v="0"/>
  </r>
  <r>
    <x v="18"/>
    <s v="EU-Malta"/>
    <s v="LL"/>
    <x v="1"/>
    <n v="362.11200000000002"/>
    <x v="0"/>
  </r>
  <r>
    <x v="19"/>
    <s v="EU-Malta"/>
    <s v="LL"/>
    <x v="1"/>
    <n v="239.18100000000001"/>
    <x v="0"/>
  </r>
  <r>
    <x v="20"/>
    <s v="EU-Malta"/>
    <s v="LL"/>
    <x v="1"/>
    <n v="213.48699999999999"/>
    <x v="0"/>
  </r>
  <r>
    <x v="9"/>
    <s v="EU-Malta"/>
    <s v="LL"/>
    <x v="1"/>
    <n v="260.23399999999998"/>
    <x v="0"/>
  </r>
  <r>
    <x v="10"/>
    <s v="EU-Malta"/>
    <s v="LL"/>
    <x v="1"/>
    <n v="265.93739900000003"/>
    <x v="0"/>
  </r>
  <r>
    <x v="11"/>
    <s v="EU-Malta"/>
    <s v="LL"/>
    <x v="1"/>
    <n v="422.76100000000002"/>
    <x v="0"/>
  </r>
  <r>
    <x v="4"/>
    <s v="EU-Malta"/>
    <s v="LL"/>
    <x v="1"/>
    <n v="532.00491099999999"/>
    <x v="0"/>
  </r>
  <r>
    <x v="12"/>
    <s v="EU-Malta"/>
    <s v="LL"/>
    <x v="1"/>
    <n v="503.36021"/>
    <x v="0"/>
  </r>
  <r>
    <x v="13"/>
    <s v="EU-Malta"/>
    <s v="LL"/>
    <x v="1"/>
    <n v="459.91006800000002"/>
    <x v="0"/>
  </r>
  <r>
    <x v="3"/>
    <s v="EU-Malta"/>
    <s v="LL"/>
    <x v="1"/>
    <n v="376.49310000000003"/>
    <x v="0"/>
  </r>
  <r>
    <x v="5"/>
    <s v="EU-Malta"/>
    <s v="LL"/>
    <x v="1"/>
    <n v="489.34169600000001"/>
    <x v="0"/>
  </r>
  <r>
    <x v="14"/>
    <s v="EU-Malta"/>
    <s v="LL"/>
    <x v="1"/>
    <n v="409.68207999999998"/>
    <x v="0"/>
  </r>
  <r>
    <x v="15"/>
    <s v="EU-Malta"/>
    <s v="LL"/>
    <x v="1"/>
    <n v="330.38090599999998"/>
    <x v="0"/>
  </r>
  <r>
    <x v="6"/>
    <s v="EU-Malta"/>
    <s v="LL"/>
    <x v="1"/>
    <n v="307.65251000000001"/>
    <x v="0"/>
  </r>
  <r>
    <x v="7"/>
    <s v="EU-Malta"/>
    <s v="LL"/>
    <x v="1"/>
    <n v="406.81866000000002"/>
    <x v="0"/>
  </r>
  <r>
    <x v="16"/>
    <s v="EU-Malta"/>
    <s v="LL"/>
    <x v="1"/>
    <n v="361.29"/>
    <x v="0"/>
  </r>
  <r>
    <x v="8"/>
    <s v="EU-Malta"/>
    <s v="LL"/>
    <x v="1"/>
    <n v="391.1003"/>
    <x v="0"/>
  </r>
  <r>
    <x v="0"/>
    <s v="EU-Malta"/>
    <s v="LL"/>
    <x v="1"/>
    <n v="380.45981"/>
    <x v="0"/>
  </r>
  <r>
    <x v="1"/>
    <s v="EU-Malta"/>
    <s v="LL"/>
    <x v="1"/>
    <n v="359.6902"/>
    <x v="0"/>
  </r>
  <r>
    <x v="2"/>
    <s v="EU-Malta"/>
    <s v="LL"/>
    <x v="1"/>
    <n v="374.02524"/>
    <x v="0"/>
  </r>
  <r>
    <x v="64"/>
    <s v="EU-Portugal"/>
    <s v="LL"/>
    <x v="1"/>
    <n v="13.3"/>
    <x v="0"/>
  </r>
  <r>
    <x v="65"/>
    <s v="EU-Portugal"/>
    <s v="LL"/>
    <x v="1"/>
    <n v="115.1"/>
    <x v="0"/>
  </r>
  <r>
    <x v="66"/>
    <s v="EU-Portugal"/>
    <s v="LL"/>
    <x v="1"/>
    <n v="7.6"/>
    <x v="0"/>
  </r>
  <r>
    <x v="67"/>
    <s v="EU-Portugal"/>
    <s v="LL"/>
    <x v="1"/>
    <n v="0.61"/>
    <x v="0"/>
  </r>
  <r>
    <x v="17"/>
    <s v="EU-Portugal"/>
    <s v="LL"/>
    <x v="1"/>
    <n v="120.2"/>
    <x v="0"/>
  </r>
  <r>
    <x v="18"/>
    <s v="EU-Portugal"/>
    <s v="LL"/>
    <x v="1"/>
    <n v="13.912000000000001"/>
    <x v="0"/>
  </r>
  <r>
    <x v="19"/>
    <s v="EU-Portugal"/>
    <s v="LL"/>
    <x v="1"/>
    <n v="15.504"/>
    <x v="0"/>
  </r>
  <r>
    <x v="40"/>
    <s v="Japan"/>
    <s v="LL"/>
    <x v="1"/>
    <n v="15.007"/>
    <x v="0"/>
  </r>
  <r>
    <x v="41"/>
    <s v="Japan"/>
    <s v="LL"/>
    <x v="1"/>
    <n v="1.9359999999999999"/>
    <x v="0"/>
  </r>
  <r>
    <x v="42"/>
    <s v="Japan"/>
    <s v="LL"/>
    <x v="1"/>
    <n v="9.4670000000000005"/>
    <x v="0"/>
  </r>
  <r>
    <x v="43"/>
    <s v="Japan"/>
    <s v="LL"/>
    <x v="1"/>
    <n v="12.856"/>
    <x v="0"/>
  </r>
  <r>
    <x v="44"/>
    <s v="Japan"/>
    <s v="LL"/>
    <x v="1"/>
    <n v="1"/>
    <x v="0"/>
  </r>
  <r>
    <x v="45"/>
    <s v="Japan"/>
    <s v="LL"/>
    <x v="1"/>
    <n v="4.5720000000000001"/>
    <x v="0"/>
  </r>
  <r>
    <x v="46"/>
    <s v="Japan"/>
    <s v="LL"/>
    <x v="1"/>
    <n v="2"/>
    <x v="0"/>
  </r>
  <r>
    <x v="47"/>
    <s v="Japan"/>
    <s v="LL"/>
    <x v="1"/>
    <n v="3"/>
    <x v="0"/>
  </r>
  <r>
    <x v="48"/>
    <s v="Japan"/>
    <s v="LL"/>
    <x v="1"/>
    <n v="1"/>
    <x v="0"/>
  </r>
  <r>
    <x v="49"/>
    <s v="Japan"/>
    <s v="LL"/>
    <x v="1"/>
    <n v="1.022"/>
    <x v="0"/>
  </r>
  <r>
    <x v="50"/>
    <s v="Japan"/>
    <s v="LL"/>
    <x v="1"/>
    <n v="5"/>
    <x v="0"/>
  </r>
  <r>
    <x v="51"/>
    <s v="Japan"/>
    <s v="LL"/>
    <x v="1"/>
    <n v="6"/>
    <x v="0"/>
  </r>
  <r>
    <x v="52"/>
    <s v="Japan"/>
    <s v="LL"/>
    <x v="1"/>
    <n v="19"/>
    <x v="0"/>
  </r>
  <r>
    <x v="53"/>
    <s v="Japan"/>
    <s v="LL"/>
    <x v="1"/>
    <n v="14"/>
    <x v="0"/>
  </r>
  <r>
    <x v="54"/>
    <s v="Japan"/>
    <s v="LL"/>
    <x v="1"/>
    <n v="7"/>
    <x v="0"/>
  </r>
  <r>
    <x v="55"/>
    <s v="Japan"/>
    <s v="LL"/>
    <x v="1"/>
    <n v="3"/>
    <x v="0"/>
  </r>
  <r>
    <x v="56"/>
    <s v="Japan"/>
    <s v="LL"/>
    <x v="1"/>
    <n v="4"/>
    <x v="0"/>
  </r>
  <r>
    <x v="21"/>
    <s v="Japan"/>
    <s v="LL"/>
    <x v="1"/>
    <n v="1"/>
    <x v="0"/>
  </r>
  <r>
    <x v="22"/>
    <s v="Japan"/>
    <s v="LL"/>
    <x v="1"/>
    <n v="2"/>
    <x v="0"/>
  </r>
  <r>
    <x v="23"/>
    <s v="Japan"/>
    <s v="LL"/>
    <x v="1"/>
    <n v="1"/>
    <x v="0"/>
  </r>
  <r>
    <x v="24"/>
    <s v="Japan"/>
    <s v="LL"/>
    <x v="1"/>
    <n v="2"/>
    <x v="0"/>
  </r>
  <r>
    <x v="57"/>
    <s v="Japan"/>
    <s v="LL"/>
    <x v="1"/>
    <n v="4"/>
    <x v="0"/>
  </r>
  <r>
    <x v="58"/>
    <s v="Japan"/>
    <s v="LL"/>
    <x v="1"/>
    <n v="2"/>
    <x v="0"/>
  </r>
  <r>
    <x v="59"/>
    <s v="Japan"/>
    <s v="LL"/>
    <x v="1"/>
    <n v="4"/>
    <x v="0"/>
  </r>
  <r>
    <x v="60"/>
    <s v="Japan"/>
    <s v="LL"/>
    <x v="1"/>
    <n v="5"/>
    <x v="0"/>
  </r>
  <r>
    <x v="61"/>
    <s v="Japan"/>
    <s v="LL"/>
    <x v="1"/>
    <n v="5"/>
    <x v="0"/>
  </r>
  <r>
    <x v="62"/>
    <s v="Japan"/>
    <s v="LL"/>
    <x v="1"/>
    <n v="7"/>
    <x v="0"/>
  </r>
  <r>
    <x v="63"/>
    <s v="Japan"/>
    <s v="LL"/>
    <x v="1"/>
    <n v="4"/>
    <x v="0"/>
  </r>
  <r>
    <x v="64"/>
    <s v="Japan"/>
    <s v="LL"/>
    <x v="1"/>
    <n v="2"/>
    <x v="0"/>
  </r>
  <r>
    <x v="65"/>
    <s v="Japan"/>
    <s v="LL"/>
    <x v="1"/>
    <n v="1"/>
    <x v="0"/>
  </r>
  <r>
    <x v="66"/>
    <s v="Japan"/>
    <s v="LL"/>
    <x v="1"/>
    <n v="0.752"/>
    <x v="0"/>
  </r>
  <r>
    <x v="67"/>
    <s v="Japan"/>
    <s v="LL"/>
    <x v="1"/>
    <n v="0"/>
    <x v="0"/>
  </r>
  <r>
    <x v="17"/>
    <s v="Japan"/>
    <s v="LL"/>
    <x v="1"/>
    <n v="2"/>
    <x v="0"/>
  </r>
  <r>
    <x v="18"/>
    <s v="Japan"/>
    <s v="LL"/>
    <x v="1"/>
    <n v="3.7450000000000001"/>
    <x v="0"/>
  </r>
  <r>
    <x v="19"/>
    <s v="Japan"/>
    <s v="LL"/>
    <x v="1"/>
    <n v="0.38600000000000001"/>
    <x v="0"/>
  </r>
  <r>
    <x v="20"/>
    <s v="Japan"/>
    <s v="LL"/>
    <x v="1"/>
    <n v="2.5819999999999999"/>
    <x v="0"/>
  </r>
  <r>
    <x v="9"/>
    <s v="Japan"/>
    <s v="LL"/>
    <x v="1"/>
    <n v="1.4950000000000001"/>
    <x v="0"/>
  </r>
  <r>
    <x v="10"/>
    <s v="Japan"/>
    <s v="LL"/>
    <x v="1"/>
    <n v="0.52500000000000002"/>
    <x v="0"/>
  </r>
  <r>
    <x v="13"/>
    <s v="Japan"/>
    <s v="LL"/>
    <x v="1"/>
    <n v="0"/>
    <x v="0"/>
  </r>
  <r>
    <x v="3"/>
    <s v="Japan"/>
    <s v="LL"/>
    <x v="1"/>
    <n v="0"/>
    <x v="0"/>
  </r>
  <r>
    <x v="5"/>
    <s v="Japan"/>
    <s v="LL"/>
    <x v="1"/>
    <n v="0"/>
    <x v="0"/>
  </r>
  <r>
    <x v="15"/>
    <s v="Japan"/>
    <s v="LL"/>
    <x v="1"/>
    <n v="0"/>
    <x v="0"/>
  </r>
  <r>
    <x v="6"/>
    <s v="Japan"/>
    <s v="LL"/>
    <x v="1"/>
    <n v="0"/>
    <x v="0"/>
  </r>
  <r>
    <x v="7"/>
    <s v="Japan"/>
    <s v="LL"/>
    <x v="1"/>
    <n v="0"/>
    <x v="0"/>
  </r>
  <r>
    <x v="16"/>
    <s v="Japan"/>
    <s v="LL"/>
    <x v="1"/>
    <n v="0"/>
    <x v="0"/>
  </r>
  <r>
    <x v="8"/>
    <s v="Japan"/>
    <s v="LL"/>
    <x v="1"/>
    <n v="0"/>
    <x v="0"/>
  </r>
  <r>
    <x v="0"/>
    <s v="Japan"/>
    <s v="LL"/>
    <x v="1"/>
    <n v="0"/>
    <x v="0"/>
  </r>
  <r>
    <x v="1"/>
    <s v="Japan"/>
    <s v="LL"/>
    <x v="1"/>
    <n v="0"/>
    <x v="0"/>
  </r>
  <r>
    <x v="2"/>
    <s v="Japan"/>
    <s v="LL"/>
    <x v="1"/>
    <n v="0"/>
    <x v="0"/>
  </r>
  <r>
    <x v="10"/>
    <s v="Korea Rep"/>
    <s v="LL"/>
    <x v="1"/>
    <n v="1"/>
    <x v="0"/>
  </r>
  <r>
    <x v="62"/>
    <s v="Libya"/>
    <s v="LL"/>
    <x v="1"/>
    <n v="11"/>
    <x v="0"/>
  </r>
  <r>
    <x v="64"/>
    <s v="Libya"/>
    <s v="LL"/>
    <x v="1"/>
    <n v="7.6349999999999998"/>
    <x v="0"/>
  </r>
  <r>
    <x v="65"/>
    <s v="Libya"/>
    <s v="LL"/>
    <x v="1"/>
    <n v="5.5640000000000001"/>
    <x v="0"/>
  </r>
  <r>
    <x v="67"/>
    <s v="Libya"/>
    <s v="LL"/>
    <x v="1"/>
    <n v="10.064"/>
    <x v="0"/>
  </r>
  <r>
    <x v="17"/>
    <s v="Libya"/>
    <s v="LL"/>
    <x v="1"/>
    <n v="2.4390000000000001"/>
    <x v="0"/>
  </r>
  <r>
    <x v="19"/>
    <s v="Libya"/>
    <s v="LL"/>
    <x v="1"/>
    <n v="15.9"/>
    <x v="0"/>
  </r>
  <r>
    <x v="5"/>
    <s v="Libya"/>
    <s v="LL"/>
    <x v="1"/>
    <n v="585"/>
    <x v="0"/>
  </r>
  <r>
    <x v="14"/>
    <s v="Libya"/>
    <s v="LL"/>
    <x v="1"/>
    <n v="960"/>
    <x v="0"/>
  </r>
  <r>
    <x v="15"/>
    <s v="Libya"/>
    <s v="LL"/>
    <x v="1"/>
    <n v="30"/>
    <x v="0"/>
  </r>
  <r>
    <x v="6"/>
    <s v="Libya"/>
    <s v="LL"/>
    <x v="1"/>
    <n v="70"/>
    <x v="0"/>
  </r>
  <r>
    <x v="7"/>
    <s v="Libya"/>
    <s v="LL"/>
    <x v="1"/>
    <n v="26"/>
    <x v="0"/>
  </r>
  <r>
    <x v="16"/>
    <s v="Libya"/>
    <s v="LL"/>
    <x v="1"/>
    <n v="22"/>
    <x v="0"/>
  </r>
  <r>
    <x v="8"/>
    <s v="Libya"/>
    <s v="LL"/>
    <x v="1"/>
    <n v="19"/>
    <x v="0"/>
  </r>
  <r>
    <x v="0"/>
    <s v="Libya"/>
    <s v="LL"/>
    <x v="1"/>
    <n v="21"/>
    <x v="0"/>
  </r>
  <r>
    <x v="1"/>
    <s v="Libya"/>
    <s v="LL"/>
    <x v="1"/>
    <n v="250"/>
    <x v="0"/>
  </r>
  <r>
    <x v="2"/>
    <s v="Libya"/>
    <s v="LL"/>
    <x v="1"/>
    <n v="120"/>
    <x v="0"/>
  </r>
  <r>
    <x v="29"/>
    <s v="Maroc"/>
    <s v="LL"/>
    <x v="1"/>
    <n v="94"/>
    <x v="0"/>
  </r>
  <r>
    <x v="30"/>
    <s v="Maroc"/>
    <s v="LL"/>
    <x v="1"/>
    <n v="188"/>
    <x v="0"/>
  </r>
  <r>
    <x v="31"/>
    <s v="Maroc"/>
    <s v="LL"/>
    <x v="1"/>
    <n v="94"/>
    <x v="0"/>
  </r>
  <r>
    <x v="32"/>
    <s v="Maroc"/>
    <s v="LL"/>
    <x v="1"/>
    <n v="282"/>
    <x v="0"/>
  </r>
  <r>
    <x v="33"/>
    <s v="Maroc"/>
    <s v="LL"/>
    <x v="1"/>
    <n v="223"/>
    <x v="0"/>
  </r>
  <r>
    <x v="34"/>
    <s v="Maroc"/>
    <s v="LL"/>
    <x v="1"/>
    <n v="192"/>
    <x v="0"/>
  </r>
  <r>
    <x v="35"/>
    <s v="Maroc"/>
    <s v="LL"/>
    <x v="1"/>
    <n v="169"/>
    <x v="0"/>
  </r>
  <r>
    <x v="36"/>
    <s v="Maroc"/>
    <s v="LL"/>
    <x v="1"/>
    <n v="196"/>
    <x v="0"/>
  </r>
  <r>
    <x v="37"/>
    <s v="Maroc"/>
    <s v="LL"/>
    <x v="1"/>
    <n v="250"/>
    <x v="0"/>
  </r>
  <r>
    <x v="38"/>
    <s v="Maroc"/>
    <s v="LL"/>
    <x v="1"/>
    <n v="214"/>
    <x v="0"/>
  </r>
  <r>
    <x v="39"/>
    <s v="Maroc"/>
    <s v="LL"/>
    <x v="1"/>
    <n v="326"/>
    <x v="0"/>
  </r>
  <r>
    <x v="40"/>
    <s v="Maroc"/>
    <s v="LL"/>
    <x v="1"/>
    <n v="229"/>
    <x v="0"/>
  </r>
  <r>
    <x v="41"/>
    <s v="Maroc"/>
    <s v="LL"/>
    <x v="1"/>
    <n v="183"/>
    <x v="0"/>
  </r>
  <r>
    <x v="42"/>
    <s v="Maroc"/>
    <s v="LL"/>
    <x v="1"/>
    <n v="193"/>
    <x v="0"/>
  </r>
  <r>
    <x v="43"/>
    <s v="Maroc"/>
    <s v="LL"/>
    <x v="1"/>
    <n v="118"/>
    <x v="0"/>
  </r>
  <r>
    <x v="44"/>
    <s v="Maroc"/>
    <s v="LL"/>
    <x v="1"/>
    <n v="186"/>
    <x v="0"/>
  </r>
  <r>
    <x v="45"/>
    <s v="Maroc"/>
    <s v="LL"/>
    <x v="1"/>
    <n v="144"/>
    <x v="0"/>
  </r>
  <r>
    <x v="46"/>
    <s v="Maroc"/>
    <s v="LL"/>
    <x v="1"/>
    <n v="172"/>
    <x v="0"/>
  </r>
  <r>
    <x v="47"/>
    <s v="Maroc"/>
    <s v="LL"/>
    <x v="1"/>
    <n v="167.333"/>
    <x v="0"/>
  </r>
  <r>
    <x v="48"/>
    <s v="Maroc"/>
    <s v="LL"/>
    <x v="1"/>
    <n v="161.11099999999999"/>
    <x v="0"/>
  </r>
  <r>
    <x v="49"/>
    <s v="Maroc"/>
    <s v="LL"/>
    <x v="1"/>
    <n v="166.815"/>
    <x v="0"/>
  </r>
  <r>
    <x v="50"/>
    <s v="Maroc"/>
    <s v="LL"/>
    <x v="1"/>
    <n v="165.08600000000001"/>
    <x v="0"/>
  </r>
  <r>
    <x v="51"/>
    <s v="Maroc"/>
    <s v="LL"/>
    <x v="1"/>
    <n v="43"/>
    <x v="0"/>
  </r>
  <r>
    <x v="52"/>
    <s v="Maroc"/>
    <s v="LL"/>
    <x v="1"/>
    <n v="39"/>
    <x v="0"/>
  </r>
  <r>
    <x v="53"/>
    <s v="Maroc"/>
    <s v="LL"/>
    <x v="1"/>
    <n v="38"/>
    <x v="0"/>
  </r>
  <r>
    <x v="54"/>
    <s v="Maroc"/>
    <s v="LL"/>
    <x v="1"/>
    <n v="92"/>
    <x v="0"/>
  </r>
  <r>
    <x v="55"/>
    <s v="Maroc"/>
    <s v="LL"/>
    <x v="1"/>
    <n v="40"/>
    <x v="0"/>
  </r>
  <r>
    <x v="56"/>
    <s v="Maroc"/>
    <s v="LL"/>
    <x v="1"/>
    <n v="62"/>
    <x v="0"/>
  </r>
  <r>
    <x v="21"/>
    <s v="Maroc"/>
    <s v="LL"/>
    <x v="1"/>
    <n v="97"/>
    <x v="0"/>
  </r>
  <r>
    <x v="22"/>
    <s v="Maroc"/>
    <s v="LL"/>
    <x v="1"/>
    <n v="371"/>
    <x v="0"/>
  </r>
  <r>
    <x v="23"/>
    <s v="Maroc"/>
    <s v="LL"/>
    <x v="1"/>
    <n v="508"/>
    <x v="0"/>
  </r>
  <r>
    <x v="24"/>
    <s v="Maroc"/>
    <s v="LL"/>
    <x v="1"/>
    <n v="807"/>
    <x v="0"/>
  </r>
  <r>
    <x v="57"/>
    <s v="Maroc"/>
    <s v="LL"/>
    <x v="1"/>
    <n v="517"/>
    <x v="0"/>
  </r>
  <r>
    <x v="58"/>
    <s v="Maroc"/>
    <s v="LL"/>
    <x v="1"/>
    <n v="527"/>
    <x v="0"/>
  </r>
  <r>
    <x v="59"/>
    <s v="Maroc"/>
    <s v="LL"/>
    <x v="1"/>
    <n v="169"/>
    <x v="0"/>
  </r>
  <r>
    <x v="60"/>
    <s v="Maroc"/>
    <s v="LL"/>
    <x v="1"/>
    <n v="273"/>
    <x v="0"/>
  </r>
  <r>
    <x v="61"/>
    <s v="Maroc"/>
    <s v="LL"/>
    <x v="1"/>
    <n v="245"/>
    <x v="0"/>
  </r>
  <r>
    <x v="62"/>
    <s v="Maroc"/>
    <s v="LL"/>
    <x v="1"/>
    <n v="323"/>
    <x v="0"/>
  </r>
  <r>
    <x v="63"/>
    <s v="Maroc"/>
    <s v="LL"/>
    <x v="1"/>
    <n v="259"/>
    <x v="0"/>
  </r>
  <r>
    <x v="64"/>
    <s v="Maroc"/>
    <s v="LL"/>
    <x v="1"/>
    <n v="205"/>
    <x v="0"/>
  </r>
  <r>
    <x v="65"/>
    <s v="Maroc"/>
    <s v="LL"/>
    <x v="1"/>
    <n v="754"/>
    <x v="0"/>
  </r>
  <r>
    <x v="66"/>
    <s v="Maroc"/>
    <s v="LL"/>
    <x v="1"/>
    <n v="1149"/>
    <x v="0"/>
  </r>
  <r>
    <x v="67"/>
    <s v="Maroc"/>
    <s v="LL"/>
    <x v="1"/>
    <n v="1670"/>
    <x v="0"/>
  </r>
  <r>
    <x v="17"/>
    <s v="Maroc"/>
    <s v="LL"/>
    <x v="1"/>
    <n v="1954"/>
    <x v="0"/>
  </r>
  <r>
    <x v="18"/>
    <s v="Maroc"/>
    <s v="LL"/>
    <x v="1"/>
    <n v="1801"/>
    <x v="0"/>
  </r>
  <r>
    <x v="19"/>
    <s v="Maroc"/>
    <s v="LL"/>
    <x v="1"/>
    <n v="1455"/>
    <x v="0"/>
  </r>
  <r>
    <x v="20"/>
    <s v="Maroc"/>
    <s v="LL"/>
    <x v="1"/>
    <n v="1107"/>
    <x v="0"/>
  </r>
  <r>
    <x v="9"/>
    <s v="Maroc"/>
    <s v="LL"/>
    <x v="1"/>
    <n v="1370"/>
    <x v="0"/>
  </r>
  <r>
    <x v="10"/>
    <s v="Maroc"/>
    <s v="LL"/>
    <x v="1"/>
    <n v="1110"/>
    <x v="0"/>
  </r>
  <r>
    <x v="11"/>
    <s v="Maroc"/>
    <s v="LL"/>
    <x v="1"/>
    <n v="1200"/>
    <x v="0"/>
  </r>
  <r>
    <x v="4"/>
    <s v="Maroc"/>
    <s v="LL"/>
    <x v="1"/>
    <n v="640"/>
    <x v="0"/>
  </r>
  <r>
    <x v="12"/>
    <s v="Maroc"/>
    <s v="LL"/>
    <x v="1"/>
    <n v="802"/>
    <x v="0"/>
  </r>
  <r>
    <x v="13"/>
    <s v="Maroc"/>
    <s v="LL"/>
    <x v="1"/>
    <n v="770"/>
    <x v="0"/>
  </r>
  <r>
    <x v="3"/>
    <s v="Maroc"/>
    <s v="LL"/>
    <x v="1"/>
    <n v="770"/>
    <x v="0"/>
  </r>
  <r>
    <x v="5"/>
    <s v="Maroc"/>
    <s v="LL"/>
    <x v="1"/>
    <n v="480.4"/>
    <x v="0"/>
  </r>
  <r>
    <x v="14"/>
    <s v="Maroc"/>
    <s v="LL"/>
    <x v="1"/>
    <n v="1110"/>
    <x v="0"/>
  </r>
  <r>
    <x v="15"/>
    <s v="Maroc"/>
    <s v="LL"/>
    <x v="1"/>
    <n v="1000"/>
    <x v="0"/>
  </r>
  <r>
    <x v="6"/>
    <s v="Maroc"/>
    <s v="LL"/>
    <x v="1"/>
    <n v="1013"/>
    <x v="0"/>
  </r>
  <r>
    <x v="7"/>
    <s v="Maroc"/>
    <s v="LL"/>
    <x v="1"/>
    <n v="982.26"/>
    <x v="0"/>
  </r>
  <r>
    <x v="16"/>
    <s v="Maroc"/>
    <s v="LL"/>
    <x v="1"/>
    <n v="951"/>
    <x v="0"/>
  </r>
  <r>
    <x v="8"/>
    <s v="Maroc"/>
    <s v="LL"/>
    <x v="1"/>
    <n v="924.2"/>
    <x v="0"/>
  </r>
  <r>
    <x v="0"/>
    <s v="Maroc"/>
    <s v="LL"/>
    <x v="1"/>
    <n v="890.86"/>
    <x v="0"/>
  </r>
  <r>
    <x v="1"/>
    <s v="Maroc"/>
    <s v="LL"/>
    <x v="1"/>
    <n v="896.47"/>
    <x v="0"/>
  </r>
  <r>
    <x v="2"/>
    <s v="Maroc"/>
    <s v="LL"/>
    <x v="1"/>
    <n v="896.47"/>
    <x v="0"/>
  </r>
  <r>
    <x v="48"/>
    <s v="NEI (MED)"/>
    <s v="LL"/>
    <x v="1"/>
    <n v="728"/>
    <x v="0"/>
  </r>
  <r>
    <x v="49"/>
    <s v="NEI (MED)"/>
    <s v="LL"/>
    <x v="1"/>
    <n v="672"/>
    <x v="0"/>
  </r>
  <r>
    <x v="50"/>
    <s v="NEI (MED)"/>
    <s v="LL"/>
    <x v="1"/>
    <n v="517"/>
    <x v="0"/>
  </r>
  <r>
    <x v="51"/>
    <s v="NEI (MED)"/>
    <s v="LL"/>
    <x v="1"/>
    <n v="532"/>
    <x v="0"/>
  </r>
  <r>
    <x v="52"/>
    <s v="NEI (MED)"/>
    <s v="LL"/>
    <x v="1"/>
    <n v="552"/>
    <x v="0"/>
  </r>
  <r>
    <x v="53"/>
    <s v="NEI (MED)"/>
    <s v="LL"/>
    <x v="1"/>
    <n v="499"/>
    <x v="0"/>
  </r>
  <r>
    <x v="54"/>
    <s v="NEI (MED)"/>
    <s v="LL"/>
    <x v="1"/>
    <n v="524"/>
    <x v="0"/>
  </r>
  <r>
    <x v="55"/>
    <s v="NEI (MED)"/>
    <s v="LL"/>
    <x v="1"/>
    <n v="566"/>
    <x v="0"/>
  </r>
  <r>
    <x v="56"/>
    <s v="NEI (MED)"/>
    <s v="LL"/>
    <x v="1"/>
    <n v="598"/>
    <x v="0"/>
  </r>
  <r>
    <x v="21"/>
    <s v="NEI (MED)"/>
    <s v="LL"/>
    <x v="1"/>
    <n v="598"/>
    <x v="0"/>
  </r>
  <r>
    <x v="22"/>
    <s v="NEI (MED)"/>
    <s v="LL"/>
    <x v="1"/>
    <n v="918"/>
    <x v="0"/>
  </r>
  <r>
    <x v="23"/>
    <s v="NEI (MED)"/>
    <s v="LL"/>
    <x v="1"/>
    <n v="733"/>
    <x v="0"/>
  </r>
  <r>
    <x v="24"/>
    <s v="NEI (MED)"/>
    <s v="LL"/>
    <x v="1"/>
    <n v="733"/>
    <x v="0"/>
  </r>
  <r>
    <x v="20"/>
    <s v="Syria"/>
    <s v="LL"/>
    <x v="1"/>
    <n v="22.184999999999999"/>
    <x v="0"/>
  </r>
  <r>
    <x v="9"/>
    <s v="Syria"/>
    <s v="LL"/>
    <x v="1"/>
    <n v="17.065999999999999"/>
    <x v="0"/>
  </r>
  <r>
    <x v="12"/>
    <s v="Syria"/>
    <s v="LL"/>
    <x v="1"/>
    <n v="5.4"/>
    <x v="0"/>
  </r>
  <r>
    <x v="13"/>
    <s v="Syria"/>
    <s v="LL"/>
    <x v="1"/>
    <n v="2.5"/>
    <x v="0"/>
  </r>
  <r>
    <x v="38"/>
    <s v="Tunisie"/>
    <s v="LL"/>
    <x v="1"/>
    <n v="0"/>
    <x v="0"/>
  </r>
  <r>
    <x v="39"/>
    <s v="Tunisie"/>
    <s v="LL"/>
    <x v="1"/>
    <n v="0"/>
    <x v="0"/>
  </r>
  <r>
    <x v="40"/>
    <s v="Tunisie"/>
    <s v="LL"/>
    <x v="1"/>
    <n v="0"/>
    <x v="0"/>
  </r>
  <r>
    <x v="41"/>
    <s v="Tunisie"/>
    <s v="LL"/>
    <x v="1"/>
    <n v="0"/>
    <x v="0"/>
  </r>
  <r>
    <x v="42"/>
    <s v="Tunisie"/>
    <s v="LL"/>
    <x v="1"/>
    <n v="5"/>
    <x v="0"/>
  </r>
  <r>
    <x v="43"/>
    <s v="Tunisie"/>
    <s v="LL"/>
    <x v="1"/>
    <n v="3"/>
    <x v="0"/>
  </r>
  <r>
    <x v="44"/>
    <s v="Tunisie"/>
    <s v="LL"/>
    <x v="1"/>
    <n v="5"/>
    <x v="0"/>
  </r>
  <r>
    <x v="45"/>
    <s v="Tunisie"/>
    <s v="LL"/>
    <x v="1"/>
    <n v="4.3330000000000002"/>
    <x v="0"/>
  </r>
  <r>
    <x v="46"/>
    <s v="Tunisie"/>
    <s v="LL"/>
    <x v="1"/>
    <n v="4.1109999999999998"/>
    <x v="0"/>
  </r>
  <r>
    <x v="47"/>
    <s v="Tunisie"/>
    <s v="LL"/>
    <x v="1"/>
    <n v="4.4820000000000002"/>
    <x v="0"/>
  </r>
  <r>
    <x v="48"/>
    <s v="Tunisie"/>
    <s v="LL"/>
    <x v="1"/>
    <n v="4.3090000000000002"/>
    <x v="0"/>
  </r>
  <r>
    <x v="49"/>
    <s v="Tunisie"/>
    <s v="LL"/>
    <x v="1"/>
    <n v="7"/>
    <x v="0"/>
  </r>
  <r>
    <x v="50"/>
    <s v="Tunisie"/>
    <s v="LL"/>
    <x v="1"/>
    <n v="19"/>
    <x v="0"/>
  </r>
  <r>
    <x v="51"/>
    <s v="Tunisie"/>
    <s v="LL"/>
    <x v="1"/>
    <n v="15"/>
    <x v="0"/>
  </r>
  <r>
    <x v="52"/>
    <s v="Tunisie"/>
    <s v="LL"/>
    <x v="1"/>
    <n v="15"/>
    <x v="0"/>
  </r>
  <r>
    <x v="53"/>
    <s v="Tunisie"/>
    <s v="LL"/>
    <x v="1"/>
    <n v="61"/>
    <x v="0"/>
  </r>
  <r>
    <x v="54"/>
    <s v="Tunisie"/>
    <s v="LL"/>
    <x v="1"/>
    <n v="64"/>
    <x v="0"/>
  </r>
  <r>
    <x v="55"/>
    <s v="Tunisie"/>
    <s v="LL"/>
    <x v="1"/>
    <n v="63"/>
    <x v="0"/>
  </r>
  <r>
    <x v="56"/>
    <s v="Tunisie"/>
    <s v="LL"/>
    <x v="1"/>
    <n v="80"/>
    <x v="0"/>
  </r>
  <r>
    <x v="21"/>
    <s v="Tunisie"/>
    <s v="LL"/>
    <x v="1"/>
    <n v="159"/>
    <x v="0"/>
  </r>
  <r>
    <x v="22"/>
    <s v="Tunisie"/>
    <s v="LL"/>
    <x v="1"/>
    <n v="176"/>
    <x v="0"/>
  </r>
  <r>
    <x v="23"/>
    <s v="Tunisie"/>
    <s v="LL"/>
    <x v="1"/>
    <n v="181"/>
    <x v="0"/>
  </r>
  <r>
    <x v="24"/>
    <s v="Tunisie"/>
    <s v="LL"/>
    <x v="1"/>
    <n v="178"/>
    <x v="0"/>
  </r>
  <r>
    <x v="57"/>
    <s v="Tunisie"/>
    <s v="LL"/>
    <x v="1"/>
    <n v="354"/>
    <x v="0"/>
  </r>
  <r>
    <x v="58"/>
    <s v="Tunisie"/>
    <s v="LL"/>
    <x v="1"/>
    <n v="298"/>
    <x v="0"/>
  </r>
  <r>
    <x v="59"/>
    <s v="Tunisie"/>
    <s v="LL"/>
    <x v="1"/>
    <n v="378"/>
    <x v="0"/>
  </r>
  <r>
    <x v="60"/>
    <s v="Tunisie"/>
    <s v="LL"/>
    <x v="1"/>
    <n v="352"/>
    <x v="0"/>
  </r>
  <r>
    <x v="61"/>
    <s v="Tunisie"/>
    <s v="LL"/>
    <x v="1"/>
    <n v="346"/>
    <x v="0"/>
  </r>
  <r>
    <x v="62"/>
    <s v="Tunisie"/>
    <s v="LL"/>
    <x v="1"/>
    <n v="414"/>
    <x v="0"/>
  </r>
  <r>
    <x v="63"/>
    <s v="Tunisie"/>
    <s v="LL"/>
    <x v="1"/>
    <n v="468"/>
    <x v="0"/>
  </r>
  <r>
    <x v="64"/>
    <s v="Tunisie"/>
    <s v="LL"/>
    <x v="1"/>
    <n v="483"/>
    <x v="0"/>
  </r>
  <r>
    <x v="65"/>
    <s v="Tunisie"/>
    <s v="LL"/>
    <x v="1"/>
    <n v="567"/>
    <x v="0"/>
  </r>
  <r>
    <x v="66"/>
    <s v="Tunisie"/>
    <s v="LL"/>
    <x v="1"/>
    <n v="1138"/>
    <x v="0"/>
  </r>
  <r>
    <x v="67"/>
    <s v="Tunisie"/>
    <s v="LL"/>
    <x v="1"/>
    <n v="285.00099999999998"/>
    <x v="0"/>
  </r>
  <r>
    <x v="17"/>
    <s v="Tunisie"/>
    <s v="LL"/>
    <x v="1"/>
    <n v="791"/>
    <x v="0"/>
  </r>
  <r>
    <x v="18"/>
    <s v="Tunisie"/>
    <s v="LL"/>
    <x v="1"/>
    <n v="791"/>
    <x v="0"/>
  </r>
  <r>
    <x v="19"/>
    <s v="Tunisie"/>
    <s v="LL"/>
    <x v="1"/>
    <n v="949"/>
    <x v="0"/>
  </r>
  <r>
    <x v="20"/>
    <s v="Tunisie"/>
    <s v="LL"/>
    <x v="1"/>
    <n v="1024"/>
    <x v="0"/>
  </r>
  <r>
    <x v="9"/>
    <s v="Tunisie"/>
    <s v="LL"/>
    <x v="1"/>
    <n v="1011"/>
    <x v="0"/>
  </r>
  <r>
    <x v="10"/>
    <s v="Tunisie"/>
    <s v="LL"/>
    <x v="1"/>
    <n v="1012"/>
    <x v="0"/>
  </r>
  <r>
    <x v="11"/>
    <s v="Tunisie"/>
    <s v="LL"/>
    <x v="1"/>
    <n v="1016"/>
    <x v="0"/>
  </r>
  <r>
    <x v="4"/>
    <s v="Tunisie"/>
    <s v="LL"/>
    <x v="1"/>
    <n v="1040"/>
    <x v="0"/>
  </r>
  <r>
    <x v="12"/>
    <s v="Tunisie"/>
    <s v="LL"/>
    <x v="1"/>
    <n v="1038"/>
    <x v="0"/>
  </r>
  <r>
    <x v="13"/>
    <s v="Tunisie"/>
    <s v="LL"/>
    <x v="1"/>
    <n v="1036"/>
    <x v="0"/>
  </r>
  <r>
    <x v="3"/>
    <s v="Tunisie"/>
    <s v="LL"/>
    <x v="1"/>
    <n v="1030"/>
    <x v="0"/>
  </r>
  <r>
    <x v="5"/>
    <s v="Tunisie"/>
    <s v="LL"/>
    <x v="1"/>
    <n v="1034"/>
    <x v="0"/>
  </r>
  <r>
    <x v="14"/>
    <s v="Tunisie"/>
    <s v="LL"/>
    <x v="1"/>
    <n v="1007.0119999999999"/>
    <x v="0"/>
  </r>
  <r>
    <x v="15"/>
    <s v="Tunisie"/>
    <s v="LL"/>
    <x v="1"/>
    <n v="1002.924"/>
    <x v="0"/>
  </r>
  <r>
    <x v="6"/>
    <s v="Tunisie"/>
    <s v="LL"/>
    <x v="1"/>
    <n v="974"/>
    <x v="0"/>
  </r>
  <r>
    <x v="7"/>
    <s v="Tunisie"/>
    <s v="LL"/>
    <x v="1"/>
    <n v="934"/>
    <x v="0"/>
  </r>
  <r>
    <x v="16"/>
    <s v="Tunisie"/>
    <s v="LL"/>
    <x v="1"/>
    <n v="917.92"/>
    <x v="0"/>
  </r>
  <r>
    <x v="8"/>
    <s v="Tunisie"/>
    <s v="LL"/>
    <x v="1"/>
    <n v="890.66"/>
    <x v="0"/>
  </r>
  <r>
    <x v="0"/>
    <s v="Tunisie"/>
    <s v="LL"/>
    <x v="1"/>
    <n v="857.22699999999998"/>
    <x v="0"/>
  </r>
  <r>
    <x v="1"/>
    <s v="Tunisie"/>
    <s v="LL"/>
    <x v="1"/>
    <n v="733.221"/>
    <x v="0"/>
  </r>
  <r>
    <x v="2"/>
    <s v="Tunisie"/>
    <s v="LL"/>
    <x v="1"/>
    <n v="798.51531999999997"/>
    <x v="0"/>
  </r>
  <r>
    <x v="0"/>
    <s v="EU-España"/>
    <s v="PS"/>
    <x v="1"/>
    <n v="7.5773299999999999"/>
    <x v="0"/>
  </r>
  <r>
    <x v="1"/>
    <s v="EU-España"/>
    <s v="PS"/>
    <x v="1"/>
    <n v="2.2450000000000001"/>
    <x v="0"/>
  </r>
  <r>
    <x v="2"/>
    <s v="EU-España"/>
    <s v="PS"/>
    <x v="1"/>
    <n v="2.786"/>
    <x v="0"/>
  </r>
  <r>
    <x v="12"/>
    <s v="Türkiye"/>
    <s v="PS"/>
    <x v="1"/>
    <n v="13.202"/>
    <x v="0"/>
  </r>
  <r>
    <x v="5"/>
    <s v="Türkiye"/>
    <s v="PS"/>
    <x v="1"/>
    <n v="0"/>
    <x v="0"/>
  </r>
  <r>
    <x v="15"/>
    <s v="Türkiye"/>
    <s v="PS"/>
    <x v="1"/>
    <n v="1.0249999999999999"/>
    <x v="0"/>
  </r>
  <r>
    <x v="6"/>
    <s v="Türkiye"/>
    <s v="PS"/>
    <x v="1"/>
    <n v="1.992"/>
    <x v="0"/>
  </r>
  <r>
    <x v="0"/>
    <s v="Türkiye"/>
    <s v="PS"/>
    <x v="1"/>
    <n v="2.9"/>
    <x v="0"/>
  </r>
  <r>
    <x v="1"/>
    <s v="Türkiye"/>
    <s v="PS"/>
    <x v="1"/>
    <n v="2.9"/>
    <x v="0"/>
  </r>
  <r>
    <x v="2"/>
    <s v="Türkiye"/>
    <s v="PS"/>
    <x v="1"/>
    <n v="1.93333"/>
    <x v="0"/>
  </r>
  <r>
    <x v="17"/>
    <s v="Algerie"/>
    <s v="PS"/>
    <x v="1"/>
    <n v="45"/>
    <x v="0"/>
  </r>
  <r>
    <x v="18"/>
    <s v="Algerie"/>
    <s v="PS"/>
    <x v="1"/>
    <n v="56"/>
    <x v="0"/>
  </r>
  <r>
    <x v="19"/>
    <s v="Algerie"/>
    <s v="PS"/>
    <x v="1"/>
    <n v="47"/>
    <x v="0"/>
  </r>
  <r>
    <x v="20"/>
    <s v="Algerie"/>
    <s v="PS"/>
    <x v="1"/>
    <n v="0.64"/>
    <x v="0"/>
  </r>
  <r>
    <x v="4"/>
    <s v="Algerie"/>
    <s v="PS"/>
    <x v="1"/>
    <n v="1.33"/>
    <x v="0"/>
  </r>
  <r>
    <x v="12"/>
    <s v="Algerie"/>
    <s v="PS"/>
    <x v="1"/>
    <n v="16.969000000000001"/>
    <x v="0"/>
  </r>
  <r>
    <x v="13"/>
    <s v="Algerie"/>
    <s v="PS"/>
    <x v="1"/>
    <n v="1.3"/>
    <x v="0"/>
  </r>
  <r>
    <x v="3"/>
    <s v="Algerie"/>
    <s v="PS"/>
    <x v="1"/>
    <n v="0.13"/>
    <x v="0"/>
  </r>
  <r>
    <x v="5"/>
    <s v="Algerie"/>
    <s v="PS"/>
    <x v="1"/>
    <n v="0.184"/>
    <x v="0"/>
  </r>
  <r>
    <x v="14"/>
    <s v="Algerie"/>
    <s v="PS"/>
    <x v="1"/>
    <n v="2.3050000000000002"/>
    <x v="0"/>
  </r>
  <r>
    <x v="7"/>
    <s v="Algerie"/>
    <s v="PS"/>
    <x v="1"/>
    <n v="0"/>
    <x v="0"/>
  </r>
  <r>
    <x v="16"/>
    <s v="Algerie"/>
    <s v="PS"/>
    <x v="1"/>
    <n v="0"/>
    <x v="0"/>
  </r>
  <r>
    <x v="8"/>
    <s v="Algerie"/>
    <s v="PS"/>
    <x v="1"/>
    <n v="0"/>
    <x v="0"/>
  </r>
  <r>
    <x v="10"/>
    <s v="EU-Croatia"/>
    <s v="PS"/>
    <x v="1"/>
    <n v="1.738"/>
    <x v="0"/>
  </r>
  <r>
    <x v="11"/>
    <s v="EU-Croatia"/>
    <s v="PS"/>
    <x v="1"/>
    <n v="2.577"/>
    <x v="0"/>
  </r>
  <r>
    <x v="4"/>
    <s v="EU-Croatia"/>
    <s v="PS"/>
    <x v="1"/>
    <n v="0.98599999999999999"/>
    <x v="0"/>
  </r>
  <r>
    <x v="12"/>
    <s v="EU-Croatia"/>
    <s v="PS"/>
    <x v="1"/>
    <n v="0"/>
    <x v="0"/>
  </r>
  <r>
    <x v="13"/>
    <s v="EU-Croatia"/>
    <s v="PS"/>
    <x v="1"/>
    <n v="0.60699999999999998"/>
    <x v="0"/>
  </r>
  <r>
    <x v="3"/>
    <s v="EU-Croatia"/>
    <s v="PS"/>
    <x v="1"/>
    <n v="0.1318"/>
    <x v="0"/>
  </r>
  <r>
    <x v="5"/>
    <s v="EU-Croatia"/>
    <s v="PS"/>
    <x v="1"/>
    <n v="5.67E-2"/>
    <x v="0"/>
  </r>
  <r>
    <x v="14"/>
    <s v="EU-Croatia"/>
    <s v="PS"/>
    <x v="1"/>
    <n v="6.4000000000000001E-2"/>
    <x v="0"/>
  </r>
  <r>
    <x v="6"/>
    <s v="EU-Croatia"/>
    <s v="PS"/>
    <x v="1"/>
    <n v="1.2E-2"/>
    <x v="0"/>
  </r>
  <r>
    <x v="8"/>
    <s v="EU-Croatia"/>
    <s v="PS"/>
    <x v="1"/>
    <n v="0.10736"/>
    <x v="0"/>
  </r>
  <r>
    <x v="0"/>
    <s v="EU-Croatia"/>
    <s v="PS"/>
    <x v="1"/>
    <n v="0.10704"/>
    <x v="0"/>
  </r>
  <r>
    <x v="1"/>
    <s v="EU-Croatia"/>
    <s v="PS"/>
    <x v="1"/>
    <n v="0.26168000000000002"/>
    <x v="0"/>
  </r>
  <r>
    <x v="2"/>
    <s v="EU-Croatia"/>
    <s v="PS"/>
    <x v="1"/>
    <n v="1.2404599999999999"/>
    <x v="0"/>
  </r>
  <r>
    <x v="23"/>
    <s v="EU-France"/>
    <s v="PS"/>
    <x v="1"/>
    <n v="0"/>
    <x v="0"/>
  </r>
  <r>
    <x v="24"/>
    <s v="EU-France"/>
    <s v="PS"/>
    <x v="1"/>
    <n v="0"/>
    <x v="0"/>
  </r>
  <r>
    <x v="57"/>
    <s v="EU-France"/>
    <s v="PS"/>
    <x v="1"/>
    <n v="0"/>
    <x v="0"/>
  </r>
  <r>
    <x v="59"/>
    <s v="EU-France"/>
    <s v="PS"/>
    <x v="1"/>
    <n v="0.1"/>
    <x v="0"/>
  </r>
  <r>
    <x v="10"/>
    <s v="EU-France"/>
    <s v="PS"/>
    <x v="1"/>
    <n v="2.7E-2"/>
    <x v="0"/>
  </r>
  <r>
    <x v="11"/>
    <s v="EU-France"/>
    <s v="PS"/>
    <x v="1"/>
    <n v="0.25"/>
    <x v="0"/>
  </r>
  <r>
    <x v="3"/>
    <s v="EU-France"/>
    <s v="PS"/>
    <x v="1"/>
    <n v="1.3299999999999999E-2"/>
    <x v="0"/>
  </r>
  <r>
    <x v="5"/>
    <s v="EU-France"/>
    <s v="PS"/>
    <x v="1"/>
    <n v="0.13436999999999999"/>
    <x v="0"/>
  </r>
  <r>
    <x v="14"/>
    <s v="EU-France"/>
    <s v="PS"/>
    <x v="1"/>
    <n v="3.2000000000000001E-2"/>
    <x v="0"/>
  </r>
  <r>
    <x v="16"/>
    <s v="EU-France"/>
    <s v="PS"/>
    <x v="1"/>
    <n v="0.16200000000000001"/>
    <x v="0"/>
  </r>
  <r>
    <x v="18"/>
    <s v="EU-Italy"/>
    <s v="PS"/>
    <x v="1"/>
    <n v="0"/>
    <x v="0"/>
  </r>
  <r>
    <x v="20"/>
    <s v="EU-Italy"/>
    <s v="PS"/>
    <x v="1"/>
    <n v="6.61"/>
    <x v="0"/>
  </r>
  <r>
    <x v="9"/>
    <s v="EU-Italy"/>
    <s v="PS"/>
    <x v="1"/>
    <n v="0.30314000000000002"/>
    <x v="0"/>
  </r>
  <r>
    <x v="10"/>
    <s v="EU-Italy"/>
    <s v="PS"/>
    <x v="1"/>
    <n v="0.13736999999999999"/>
    <x v="0"/>
  </r>
  <r>
    <x v="4"/>
    <s v="EU-Italy"/>
    <s v="PS"/>
    <x v="1"/>
    <n v="0.23802000000000001"/>
    <x v="0"/>
  </r>
  <r>
    <x v="13"/>
    <s v="EU-Italy"/>
    <s v="PS"/>
    <x v="1"/>
    <n v="9.5170600000000007"/>
    <x v="0"/>
  </r>
  <r>
    <x v="3"/>
    <s v="EU-Italy"/>
    <s v="PS"/>
    <x v="1"/>
    <n v="6.8303000000000003"/>
    <x v="0"/>
  </r>
  <r>
    <x v="5"/>
    <s v="EU-Italy"/>
    <s v="PS"/>
    <x v="1"/>
    <n v="18.340699999999998"/>
    <x v="0"/>
  </r>
  <r>
    <x v="14"/>
    <s v="EU-Italy"/>
    <s v="PS"/>
    <x v="1"/>
    <n v="14.58301"/>
    <x v="0"/>
  </r>
  <r>
    <x v="15"/>
    <s v="EU-Italy"/>
    <s v="PS"/>
    <x v="1"/>
    <n v="10.20964"/>
    <x v="0"/>
  </r>
  <r>
    <x v="6"/>
    <s v="EU-Italy"/>
    <s v="PS"/>
    <x v="1"/>
    <n v="15.11979"/>
    <x v="0"/>
  </r>
  <r>
    <x v="7"/>
    <s v="EU-Italy"/>
    <s v="PS"/>
    <x v="1"/>
    <n v="0.92100000000000004"/>
    <x v="0"/>
  </r>
  <r>
    <x v="16"/>
    <s v="EU-Italy"/>
    <s v="PS"/>
    <x v="1"/>
    <n v="0.49299999999999999"/>
    <x v="0"/>
  </r>
  <r>
    <x v="0"/>
    <s v="EU-Italy"/>
    <s v="PS"/>
    <x v="1"/>
    <n v="1.665"/>
    <x v="0"/>
  </r>
  <r>
    <x v="1"/>
    <s v="EU-Italy"/>
    <s v="PS"/>
    <x v="1"/>
    <n v="0"/>
    <x v="0"/>
  </r>
  <r>
    <x v="2"/>
    <s v="EU-Italy"/>
    <s v="PS"/>
    <x v="1"/>
    <n v="0"/>
    <x v="0"/>
  </r>
  <r>
    <x v="14"/>
    <s v="EU-Malta"/>
    <s v="PS"/>
    <x v="1"/>
    <n v="0.02"/>
    <x v="0"/>
  </r>
  <r>
    <x v="7"/>
    <s v="EU-Malta"/>
    <s v="PS"/>
    <x v="1"/>
    <n v="0.01"/>
    <x v="0"/>
  </r>
  <r>
    <x v="0"/>
    <s v="EU-Malta"/>
    <s v="PS"/>
    <x v="1"/>
    <n v="1.4200000000000001E-2"/>
    <x v="0"/>
  </r>
  <r>
    <x v="1"/>
    <s v="EU-Malta"/>
    <s v="PS"/>
    <x v="1"/>
    <n v="1.4200000000000001E-2"/>
    <x v="0"/>
  </r>
  <r>
    <x v="2"/>
    <s v="EU-Malta"/>
    <s v="PS"/>
    <x v="1"/>
    <n v="9.4699999999999993E-3"/>
    <x v="0"/>
  </r>
  <r>
    <x v="24"/>
    <s v="Maroc"/>
    <s v="PS"/>
    <x v="1"/>
    <n v="0"/>
    <x v="0"/>
  </r>
  <r>
    <x v="65"/>
    <s v="Maroc"/>
    <s v="PS"/>
    <x v="1"/>
    <n v="4"/>
    <x v="0"/>
  </r>
  <r>
    <x v="20"/>
    <s v="Maroc"/>
    <s v="PS"/>
    <x v="1"/>
    <n v="0"/>
    <x v="0"/>
  </r>
  <r>
    <x v="10"/>
    <s v="Maroc"/>
    <s v="PS"/>
    <x v="1"/>
    <n v="0"/>
    <x v="0"/>
  </r>
  <r>
    <x v="4"/>
    <s v="Maroc"/>
    <s v="PS"/>
    <x v="1"/>
    <n v="0"/>
    <x v="0"/>
  </r>
  <r>
    <x v="12"/>
    <s v="Maroc"/>
    <s v="PS"/>
    <x v="1"/>
    <n v="0"/>
    <x v="0"/>
  </r>
  <r>
    <x v="13"/>
    <s v="Maroc"/>
    <s v="PS"/>
    <x v="1"/>
    <n v="0"/>
    <x v="0"/>
  </r>
  <r>
    <x v="3"/>
    <s v="Maroc"/>
    <s v="PS"/>
    <x v="1"/>
    <n v="0"/>
    <x v="0"/>
  </r>
  <r>
    <x v="20"/>
    <s v="Syria"/>
    <s v="PS"/>
    <x v="1"/>
    <n v="15"/>
    <x v="0"/>
  </r>
  <r>
    <x v="9"/>
    <s v="Syria"/>
    <s v="PS"/>
    <x v="1"/>
    <n v="11.333"/>
    <x v="0"/>
  </r>
  <r>
    <x v="12"/>
    <s v="Syria"/>
    <s v="PS"/>
    <x v="1"/>
    <n v="3.6"/>
    <x v="0"/>
  </r>
  <r>
    <x v="13"/>
    <s v="Syria"/>
    <s v="PS"/>
    <x v="1"/>
    <n v="1.5"/>
    <x v="0"/>
  </r>
  <r>
    <x v="67"/>
    <s v="Tunisie"/>
    <s v="PS"/>
    <x v="1"/>
    <n v="1.996"/>
    <x v="0"/>
  </r>
  <r>
    <x v="67"/>
    <s v="EU-Italy"/>
    <s v="RR"/>
    <x v="1"/>
    <n v="2"/>
    <x v="0"/>
  </r>
  <r>
    <x v="17"/>
    <s v="EU-Italy"/>
    <s v="RR"/>
    <x v="1"/>
    <n v="2"/>
    <x v="0"/>
  </r>
  <r>
    <x v="18"/>
    <s v="EU-Italy"/>
    <s v="RR"/>
    <x v="1"/>
    <n v="2.1"/>
    <x v="0"/>
  </r>
  <r>
    <x v="3"/>
    <s v="EU-Italy"/>
    <s v="RR"/>
    <x v="1"/>
    <n v="0.1976"/>
    <x v="0"/>
  </r>
  <r>
    <x v="10"/>
    <s v="EU-France"/>
    <s v="TN"/>
    <x v="1"/>
    <n v="0.3911"/>
    <x v="0"/>
  </r>
  <r>
    <x v="11"/>
    <s v="EU-France"/>
    <s v="TN"/>
    <x v="1"/>
    <n v="0.57938999999999996"/>
    <x v="0"/>
  </r>
  <r>
    <x v="4"/>
    <s v="EU-France"/>
    <s v="TN"/>
    <x v="1"/>
    <n v="0.22864000000000001"/>
    <x v="0"/>
  </r>
  <r>
    <x v="12"/>
    <s v="EU-France"/>
    <s v="TN"/>
    <x v="1"/>
    <n v="0.13020999999999999"/>
    <x v="0"/>
  </r>
  <r>
    <x v="13"/>
    <s v="EU-France"/>
    <s v="TN"/>
    <x v="1"/>
    <n v="0.56220000000000003"/>
    <x v="0"/>
  </r>
  <r>
    <x v="3"/>
    <s v="EU-France"/>
    <s v="TN"/>
    <x v="1"/>
    <n v="2.9828999999999999"/>
    <x v="0"/>
  </r>
  <r>
    <x v="14"/>
    <s v="EU-France"/>
    <s v="TN"/>
    <x v="1"/>
    <n v="2.8533400000000002"/>
    <x v="0"/>
  </r>
  <r>
    <x v="15"/>
    <s v="EU-France"/>
    <s v="TN"/>
    <x v="1"/>
    <n v="2.4889999999999999"/>
    <x v="0"/>
  </r>
  <r>
    <x v="6"/>
    <s v="EU-France"/>
    <s v="TN"/>
    <x v="1"/>
    <n v="1.091"/>
    <x v="0"/>
  </r>
  <r>
    <x v="7"/>
    <s v="EU-France"/>
    <s v="TN"/>
    <x v="1"/>
    <n v="0.24909999999999999"/>
    <x v="0"/>
  </r>
  <r>
    <x v="16"/>
    <s v="EU-France"/>
    <s v="TN"/>
    <x v="1"/>
    <n v="0.36122799999999999"/>
    <x v="0"/>
  </r>
  <r>
    <x v="51"/>
    <s v="EU-España"/>
    <s v="TP"/>
    <x v="1"/>
    <n v="1"/>
    <x v="0"/>
  </r>
  <r>
    <x v="52"/>
    <s v="EU-España"/>
    <s v="TP"/>
    <x v="1"/>
    <n v="2"/>
    <x v="0"/>
  </r>
  <r>
    <x v="53"/>
    <s v="EU-España"/>
    <s v="TP"/>
    <x v="1"/>
    <n v="3"/>
    <x v="0"/>
  </r>
  <r>
    <x v="56"/>
    <s v="EU-España"/>
    <s v="TP"/>
    <x v="1"/>
    <n v="2"/>
    <x v="0"/>
  </r>
  <r>
    <x v="22"/>
    <s v="EU-España"/>
    <s v="TP"/>
    <x v="1"/>
    <n v="0"/>
    <x v="0"/>
  </r>
  <r>
    <x v="59"/>
    <s v="EU-España"/>
    <s v="TP"/>
    <x v="1"/>
    <n v="2"/>
    <x v="0"/>
  </r>
  <r>
    <x v="60"/>
    <s v="EU-España"/>
    <s v="TP"/>
    <x v="1"/>
    <n v="2"/>
    <x v="0"/>
  </r>
  <r>
    <x v="61"/>
    <s v="EU-España"/>
    <s v="TP"/>
    <x v="1"/>
    <n v="1"/>
    <x v="0"/>
  </r>
  <r>
    <x v="62"/>
    <s v="EU-España"/>
    <s v="TP"/>
    <x v="1"/>
    <n v="2"/>
    <x v="0"/>
  </r>
  <r>
    <x v="63"/>
    <s v="EU-España"/>
    <s v="TP"/>
    <x v="1"/>
    <n v="3"/>
    <x v="0"/>
  </r>
  <r>
    <x v="64"/>
    <s v="EU-España"/>
    <s v="TP"/>
    <x v="1"/>
    <n v="1.3089999999999999"/>
    <x v="0"/>
  </r>
  <r>
    <x v="65"/>
    <s v="EU-España"/>
    <s v="TP"/>
    <x v="1"/>
    <n v="3.6"/>
    <x v="0"/>
  </r>
  <r>
    <x v="66"/>
    <s v="EU-España"/>
    <s v="TP"/>
    <x v="1"/>
    <n v="2.2999999999999998"/>
    <x v="0"/>
  </r>
  <r>
    <x v="67"/>
    <s v="EU-España"/>
    <s v="TP"/>
    <x v="1"/>
    <n v="2.8530000000000002"/>
    <x v="0"/>
  </r>
  <r>
    <x v="17"/>
    <s v="EU-España"/>
    <s v="TP"/>
    <x v="1"/>
    <n v="1.417"/>
    <x v="0"/>
  </r>
  <r>
    <x v="18"/>
    <s v="EU-España"/>
    <s v="TP"/>
    <x v="1"/>
    <n v="3.1549999999999998"/>
    <x v="0"/>
  </r>
  <r>
    <x v="19"/>
    <s v="EU-España"/>
    <s v="TP"/>
    <x v="1"/>
    <n v="1.08"/>
    <x v="0"/>
  </r>
  <r>
    <x v="20"/>
    <s v="EU-España"/>
    <s v="TP"/>
    <x v="1"/>
    <n v="0.56299999999999994"/>
    <x v="0"/>
  </r>
  <r>
    <x v="9"/>
    <s v="EU-España"/>
    <s v="TP"/>
    <x v="1"/>
    <n v="2.262"/>
    <x v="0"/>
  </r>
  <r>
    <x v="10"/>
    <s v="EU-España"/>
    <s v="TP"/>
    <x v="1"/>
    <n v="2.5379999999999998"/>
    <x v="0"/>
  </r>
  <r>
    <x v="11"/>
    <s v="EU-España"/>
    <s v="TP"/>
    <x v="1"/>
    <n v="1.9139999999999999"/>
    <x v="0"/>
  </r>
  <r>
    <x v="4"/>
    <s v="EU-España"/>
    <s v="TP"/>
    <x v="1"/>
    <n v="2.7240000000000002"/>
    <x v="0"/>
  </r>
  <r>
    <x v="12"/>
    <s v="EU-España"/>
    <s v="TP"/>
    <x v="1"/>
    <n v="2.379"/>
    <x v="0"/>
  </r>
  <r>
    <x v="13"/>
    <s v="EU-España"/>
    <s v="TP"/>
    <x v="1"/>
    <n v="0.66900000000000004"/>
    <x v="0"/>
  </r>
  <r>
    <x v="3"/>
    <s v="EU-España"/>
    <s v="TP"/>
    <x v="1"/>
    <n v="0.92700000000000005"/>
    <x v="0"/>
  </r>
  <r>
    <x v="5"/>
    <s v="EU-España"/>
    <s v="TP"/>
    <x v="1"/>
    <n v="1.4509000000000001"/>
    <x v="0"/>
  </r>
  <r>
    <x v="14"/>
    <s v="EU-España"/>
    <s v="TP"/>
    <x v="1"/>
    <n v="0.88529999999999998"/>
    <x v="0"/>
  </r>
  <r>
    <x v="15"/>
    <s v="EU-España"/>
    <s v="TP"/>
    <x v="1"/>
    <n v="0.14299999999999999"/>
    <x v="0"/>
  </r>
  <r>
    <x v="6"/>
    <s v="EU-España"/>
    <s v="TP"/>
    <x v="1"/>
    <n v="0.25600000000000001"/>
    <x v="0"/>
  </r>
  <r>
    <x v="7"/>
    <s v="EU-España"/>
    <s v="TP"/>
    <x v="1"/>
    <n v="0.69899999999999995"/>
    <x v="0"/>
  </r>
  <r>
    <x v="16"/>
    <s v="EU-España"/>
    <s v="TP"/>
    <x v="1"/>
    <n v="8.3165999999999993"/>
    <x v="0"/>
  </r>
  <r>
    <x v="8"/>
    <s v="EU-España"/>
    <s v="TP"/>
    <x v="1"/>
    <n v="2.6139000000000001"/>
    <x v="0"/>
  </r>
  <r>
    <x v="0"/>
    <s v="EU-España"/>
    <s v="TP"/>
    <x v="1"/>
    <n v="1.1153"/>
    <x v="0"/>
  </r>
  <r>
    <x v="1"/>
    <s v="EU-España"/>
    <s v="TP"/>
    <x v="1"/>
    <n v="0.49399999999999999"/>
    <x v="0"/>
  </r>
  <r>
    <x v="2"/>
    <s v="EU-España"/>
    <s v="TP"/>
    <x v="1"/>
    <n v="0.69099999999999995"/>
    <x v="0"/>
  </r>
  <r>
    <x v="4"/>
    <s v="EU-France"/>
    <s v="TP"/>
    <x v="1"/>
    <n v="0.13700000000000001"/>
    <x v="0"/>
  </r>
  <r>
    <x v="12"/>
    <s v="EU-France"/>
    <s v="TP"/>
    <x v="1"/>
    <n v="0.31680000000000003"/>
    <x v="0"/>
  </r>
  <r>
    <x v="13"/>
    <s v="EU-France"/>
    <s v="TP"/>
    <x v="1"/>
    <n v="0.28599999999999998"/>
    <x v="0"/>
  </r>
  <r>
    <x v="3"/>
    <s v="EU-France"/>
    <s v="TP"/>
    <x v="1"/>
    <n v="0.15"/>
    <x v="0"/>
  </r>
  <r>
    <x v="0"/>
    <s v="EU-France"/>
    <s v="TP"/>
    <x v="1"/>
    <n v="8.7578000000000003E-2"/>
    <x v="0"/>
  </r>
  <r>
    <x v="1"/>
    <s v="EU-France"/>
    <s v="TP"/>
    <x v="1"/>
    <n v="2.793E-2"/>
    <x v="0"/>
  </r>
  <r>
    <x v="2"/>
    <s v="EU-France"/>
    <s v="TP"/>
    <x v="1"/>
    <n v="3.4882000000000003E-2"/>
    <x v="0"/>
  </r>
  <r>
    <x v="52"/>
    <s v="EU-Italy"/>
    <s v="TP"/>
    <x v="1"/>
    <n v="3"/>
    <x v="0"/>
  </r>
  <r>
    <x v="22"/>
    <s v="EU-Italy"/>
    <s v="TP"/>
    <x v="1"/>
    <n v="0"/>
    <x v="0"/>
  </r>
  <r>
    <x v="23"/>
    <s v="EU-Italy"/>
    <s v="TP"/>
    <x v="1"/>
    <n v="0"/>
    <x v="0"/>
  </r>
  <r>
    <x v="24"/>
    <s v="EU-Italy"/>
    <s v="TP"/>
    <x v="1"/>
    <n v="0"/>
    <x v="0"/>
  </r>
  <r>
    <x v="57"/>
    <s v="EU-Italy"/>
    <s v="TP"/>
    <x v="1"/>
    <n v="0"/>
    <x v="0"/>
  </r>
  <r>
    <x v="60"/>
    <s v="EU-Italy"/>
    <s v="TP"/>
    <x v="1"/>
    <n v="2"/>
    <x v="0"/>
  </r>
  <r>
    <x v="61"/>
    <s v="EU-Italy"/>
    <s v="TP"/>
    <x v="1"/>
    <n v="2"/>
    <x v="0"/>
  </r>
  <r>
    <x v="62"/>
    <s v="EU-Italy"/>
    <s v="TP"/>
    <x v="1"/>
    <n v="2"/>
    <x v="0"/>
  </r>
  <r>
    <x v="63"/>
    <s v="EU-Italy"/>
    <s v="TP"/>
    <x v="1"/>
    <n v="0"/>
    <x v="0"/>
  </r>
  <r>
    <x v="64"/>
    <s v="EU-Italy"/>
    <s v="TP"/>
    <x v="1"/>
    <n v="2"/>
    <x v="0"/>
  </r>
  <r>
    <x v="67"/>
    <s v="EU-Italy"/>
    <s v="TP"/>
    <x v="1"/>
    <n v="2"/>
    <x v="0"/>
  </r>
  <r>
    <x v="17"/>
    <s v="EU-Italy"/>
    <s v="TP"/>
    <x v="1"/>
    <n v="1"/>
    <x v="0"/>
  </r>
  <r>
    <x v="18"/>
    <s v="EU-Italy"/>
    <s v="TP"/>
    <x v="1"/>
    <n v="1.7"/>
    <x v="0"/>
  </r>
  <r>
    <x v="33"/>
    <s v="Maroc"/>
    <s v="TP"/>
    <x v="1"/>
    <n v="1"/>
    <x v="0"/>
  </r>
  <r>
    <x v="35"/>
    <s v="Maroc"/>
    <s v="TP"/>
    <x v="1"/>
    <n v="1"/>
    <x v="0"/>
  </r>
  <r>
    <x v="36"/>
    <s v="Maroc"/>
    <s v="TP"/>
    <x v="1"/>
    <n v="1"/>
    <x v="0"/>
  </r>
  <r>
    <x v="39"/>
    <s v="Maroc"/>
    <s v="TP"/>
    <x v="1"/>
    <n v="1"/>
    <x v="0"/>
  </r>
  <r>
    <x v="40"/>
    <s v="Maroc"/>
    <s v="TP"/>
    <x v="1"/>
    <n v="1"/>
    <x v="0"/>
  </r>
  <r>
    <x v="42"/>
    <s v="Maroc"/>
    <s v="TP"/>
    <x v="1"/>
    <n v="3"/>
    <x v="0"/>
  </r>
  <r>
    <x v="53"/>
    <s v="Maroc"/>
    <s v="TP"/>
    <x v="1"/>
    <n v="2"/>
    <x v="0"/>
  </r>
  <r>
    <x v="22"/>
    <s v="Maroc"/>
    <s v="TP"/>
    <x v="1"/>
    <n v="12"/>
    <x v="0"/>
  </r>
  <r>
    <x v="23"/>
    <s v="Maroc"/>
    <s v="TP"/>
    <x v="1"/>
    <n v="12"/>
    <x v="0"/>
  </r>
  <r>
    <x v="24"/>
    <s v="Maroc"/>
    <s v="TP"/>
    <x v="1"/>
    <n v="2"/>
    <x v="0"/>
  </r>
  <r>
    <x v="57"/>
    <s v="Maroc"/>
    <s v="TP"/>
    <x v="1"/>
    <n v="4"/>
    <x v="0"/>
  </r>
  <r>
    <x v="58"/>
    <s v="Maroc"/>
    <s v="TP"/>
    <x v="1"/>
    <n v="18"/>
    <x v="0"/>
  </r>
  <r>
    <x v="59"/>
    <s v="Maroc"/>
    <s v="TP"/>
    <x v="1"/>
    <n v="9"/>
    <x v="0"/>
  </r>
  <r>
    <x v="61"/>
    <s v="Maroc"/>
    <s v="TP"/>
    <x v="1"/>
    <n v="2"/>
    <x v="0"/>
  </r>
  <r>
    <x v="62"/>
    <s v="Maroc"/>
    <s v="TP"/>
    <x v="1"/>
    <n v="0"/>
    <x v="0"/>
  </r>
  <r>
    <x v="65"/>
    <s v="Maroc"/>
    <s v="TP"/>
    <x v="1"/>
    <n v="2"/>
    <x v="0"/>
  </r>
  <r>
    <x v="67"/>
    <s v="Maroc"/>
    <s v="TP"/>
    <x v="1"/>
    <n v="1"/>
    <x v="0"/>
  </r>
  <r>
    <x v="20"/>
    <s v="Maroc"/>
    <s v="TP"/>
    <x v="1"/>
    <n v="0"/>
    <x v="0"/>
  </r>
  <r>
    <x v="10"/>
    <s v="Maroc"/>
    <s v="TP"/>
    <x v="1"/>
    <n v="0"/>
    <x v="0"/>
  </r>
  <r>
    <x v="4"/>
    <s v="Maroc"/>
    <s v="TP"/>
    <x v="1"/>
    <n v="0"/>
    <x v="0"/>
  </r>
  <r>
    <x v="12"/>
    <s v="Maroc"/>
    <s v="TP"/>
    <x v="1"/>
    <n v="0"/>
    <x v="0"/>
  </r>
  <r>
    <x v="13"/>
    <s v="Maroc"/>
    <s v="TP"/>
    <x v="1"/>
    <n v="0"/>
    <x v="0"/>
  </r>
  <r>
    <x v="3"/>
    <s v="Maroc"/>
    <s v="TP"/>
    <x v="1"/>
    <n v="0"/>
    <x v="0"/>
  </r>
  <r>
    <x v="67"/>
    <s v="Tunisie"/>
    <s v="TP"/>
    <x v="1"/>
    <n v="0.315"/>
    <x v="0"/>
  </r>
  <r>
    <x v="4"/>
    <s v="EU-France"/>
    <s v="TR"/>
    <x v="1"/>
    <n v="0.06"/>
    <x v="0"/>
  </r>
  <r>
    <x v="3"/>
    <s v="EU-France"/>
    <s v="TR"/>
    <x v="1"/>
    <n v="7.0000000000000007E-2"/>
    <x v="0"/>
  </r>
  <r>
    <x v="14"/>
    <s v="EU-France"/>
    <s v="TR"/>
    <x v="1"/>
    <n v="2.1447799999999999"/>
    <x v="0"/>
  </r>
  <r>
    <x v="8"/>
    <s v="EU-France"/>
    <s v="TR"/>
    <x v="1"/>
    <n v="4.8599999999999997E-2"/>
    <x v="0"/>
  </r>
  <r>
    <x v="0"/>
    <s v="EU-France"/>
    <s v="TR"/>
    <x v="1"/>
    <n v="0.37796000000000002"/>
    <x v="0"/>
  </r>
  <r>
    <x v="1"/>
    <s v="EU-France"/>
    <s v="TR"/>
    <x v="1"/>
    <n v="0.26639000000000002"/>
    <x v="0"/>
  </r>
  <r>
    <x v="2"/>
    <s v="EU-France"/>
    <s v="TR"/>
    <x v="1"/>
    <n v="0.73052399999999995"/>
    <x v="0"/>
  </r>
  <r>
    <x v="53"/>
    <s v="EU-España"/>
    <s v="TW"/>
    <x v="1"/>
    <n v="1"/>
    <x v="0"/>
  </r>
  <r>
    <x v="0"/>
    <s v="EU-España"/>
    <s v="TW"/>
    <x v="1"/>
    <n v="1.70225"/>
    <x v="0"/>
  </r>
  <r>
    <x v="1"/>
    <s v="EU-España"/>
    <s v="TW"/>
    <x v="1"/>
    <n v="1.70225"/>
    <x v="0"/>
  </r>
  <r>
    <x v="62"/>
    <s v="Algerie"/>
    <s v="TW"/>
    <x v="1"/>
    <n v="57"/>
    <x v="0"/>
  </r>
  <r>
    <x v="63"/>
    <s v="Algerie"/>
    <s v="TW"/>
    <x v="1"/>
    <n v="52"/>
    <x v="0"/>
  </r>
  <r>
    <x v="64"/>
    <s v="Algerie"/>
    <s v="TW"/>
    <x v="1"/>
    <n v="51"/>
    <x v="0"/>
  </r>
  <r>
    <x v="4"/>
    <s v="Algerie"/>
    <s v="TW"/>
    <x v="1"/>
    <n v="22.66"/>
    <x v="0"/>
  </r>
  <r>
    <x v="12"/>
    <s v="Algerie"/>
    <s v="TW"/>
    <x v="1"/>
    <n v="14.885999999999999"/>
    <x v="0"/>
  </r>
  <r>
    <x v="13"/>
    <s v="Algerie"/>
    <s v="TW"/>
    <x v="1"/>
    <n v="17.91"/>
    <x v="0"/>
  </r>
  <r>
    <x v="3"/>
    <s v="Algerie"/>
    <s v="TW"/>
    <x v="1"/>
    <n v="8"/>
    <x v="0"/>
  </r>
  <r>
    <x v="5"/>
    <s v="Algerie"/>
    <s v="TW"/>
    <x v="1"/>
    <n v="9.5709999999999997"/>
    <x v="0"/>
  </r>
  <r>
    <x v="14"/>
    <s v="Algerie"/>
    <s v="TW"/>
    <x v="1"/>
    <n v="3.335"/>
    <x v="0"/>
  </r>
  <r>
    <x v="7"/>
    <s v="Algerie"/>
    <s v="TW"/>
    <x v="1"/>
    <n v="0"/>
    <x v="0"/>
  </r>
  <r>
    <x v="16"/>
    <s v="Algerie"/>
    <s v="TW"/>
    <x v="1"/>
    <n v="0"/>
    <x v="0"/>
  </r>
  <r>
    <x v="8"/>
    <s v="Algerie"/>
    <s v="TW"/>
    <x v="1"/>
    <n v="0.75"/>
    <x v="0"/>
  </r>
  <r>
    <x v="8"/>
    <s v="Egypt"/>
    <s v="TW"/>
    <x v="1"/>
    <n v="5"/>
    <x v="0"/>
  </r>
  <r>
    <x v="5"/>
    <s v="EU-Croatia"/>
    <s v="TW"/>
    <x v="1"/>
    <n v="7.9500000000000001E-2"/>
    <x v="0"/>
  </r>
  <r>
    <x v="14"/>
    <s v="EU-Croatia"/>
    <s v="TW"/>
    <x v="1"/>
    <n v="0.121"/>
    <x v="0"/>
  </r>
  <r>
    <x v="10"/>
    <s v="EU-France"/>
    <s v="TW"/>
    <x v="1"/>
    <n v="3.68465"/>
    <x v="0"/>
  </r>
  <r>
    <x v="11"/>
    <s v="EU-France"/>
    <s v="TW"/>
    <x v="1"/>
    <n v="3.2338"/>
    <x v="0"/>
  </r>
  <r>
    <x v="4"/>
    <s v="EU-France"/>
    <s v="TW"/>
    <x v="1"/>
    <n v="1.24665"/>
    <x v="0"/>
  </r>
  <r>
    <x v="12"/>
    <s v="EU-France"/>
    <s v="TW"/>
    <x v="1"/>
    <n v="0.44001000000000001"/>
    <x v="0"/>
  </r>
  <r>
    <x v="13"/>
    <s v="EU-France"/>
    <s v="TW"/>
    <x v="1"/>
    <n v="1.1906000000000001"/>
    <x v="0"/>
  </r>
  <r>
    <x v="3"/>
    <s v="EU-France"/>
    <s v="TW"/>
    <x v="1"/>
    <n v="1.7869600000000001"/>
    <x v="0"/>
  </r>
  <r>
    <x v="5"/>
    <s v="EU-France"/>
    <s v="TW"/>
    <x v="1"/>
    <n v="1.85114"/>
    <x v="0"/>
  </r>
  <r>
    <x v="14"/>
    <s v="EU-France"/>
    <s v="TW"/>
    <x v="1"/>
    <n v="7.7560000000000004E-2"/>
    <x v="0"/>
  </r>
  <r>
    <x v="15"/>
    <s v="EU-France"/>
    <s v="TW"/>
    <x v="1"/>
    <n v="2.1505899999999998"/>
    <x v="0"/>
  </r>
  <r>
    <x v="6"/>
    <s v="EU-France"/>
    <s v="TW"/>
    <x v="1"/>
    <n v="1.40716"/>
    <x v="0"/>
  </r>
  <r>
    <x v="7"/>
    <s v="EU-France"/>
    <s v="TW"/>
    <x v="1"/>
    <n v="1.26959"/>
    <x v="0"/>
  </r>
  <r>
    <x v="16"/>
    <s v="EU-France"/>
    <s v="TW"/>
    <x v="1"/>
    <n v="1.7402249999999999"/>
    <x v="0"/>
  </r>
  <r>
    <x v="8"/>
    <s v="EU-France"/>
    <s v="TW"/>
    <x v="1"/>
    <n v="2.1111599999999999"/>
    <x v="0"/>
  </r>
  <r>
    <x v="0"/>
    <s v="EU-France"/>
    <s v="TW"/>
    <x v="1"/>
    <n v="1.6004400000000001"/>
    <x v="0"/>
  </r>
  <r>
    <x v="1"/>
    <s v="EU-France"/>
    <s v="TW"/>
    <x v="1"/>
    <n v="1.69628"/>
    <x v="0"/>
  </r>
  <r>
    <x v="2"/>
    <s v="EU-France"/>
    <s v="TW"/>
    <x v="1"/>
    <n v="1.559709"/>
    <x v="0"/>
  </r>
  <r>
    <x v="46"/>
    <s v="EU-Italy"/>
    <s v="TW"/>
    <x v="1"/>
    <n v="8"/>
    <x v="0"/>
  </r>
  <r>
    <x v="13"/>
    <s v="EU-Italy"/>
    <s v="TW"/>
    <x v="1"/>
    <n v="4.8733000000000004"/>
    <x v="0"/>
  </r>
  <r>
    <x v="5"/>
    <s v="EU-Italy"/>
    <s v="TW"/>
    <x v="1"/>
    <n v="8.0681999999999992"/>
    <x v="0"/>
  </r>
  <r>
    <x v="14"/>
    <s v="EU-Italy"/>
    <s v="TW"/>
    <x v="1"/>
    <n v="13.932259999999999"/>
    <x v="0"/>
  </r>
  <r>
    <x v="15"/>
    <s v="EU-Italy"/>
    <s v="TW"/>
    <x v="1"/>
    <n v="2.0985999999999998"/>
    <x v="0"/>
  </r>
  <r>
    <x v="6"/>
    <s v="EU-Italy"/>
    <s v="TW"/>
    <x v="1"/>
    <n v="10.103300000000001"/>
    <x v="0"/>
  </r>
  <r>
    <x v="7"/>
    <s v="EU-Italy"/>
    <s v="TW"/>
    <x v="1"/>
    <n v="3.411"/>
    <x v="0"/>
  </r>
  <r>
    <x v="0"/>
    <s v="EU-Italy"/>
    <s v="TW"/>
    <x v="1"/>
    <n v="3.39"/>
    <x v="0"/>
  </r>
  <r>
    <x v="1"/>
    <s v="EU-Italy"/>
    <s v="TW"/>
    <x v="1"/>
    <n v="0"/>
    <x v="0"/>
  </r>
  <r>
    <x v="2"/>
    <s v="EU-Italy"/>
    <s v="TW"/>
    <x v="1"/>
    <n v="0"/>
    <x v="0"/>
  </r>
  <r>
    <x v="13"/>
    <s v="EU-Malta"/>
    <s v="TW"/>
    <x v="1"/>
    <n v="1.2999999999999999E-2"/>
    <x v="0"/>
  </r>
  <r>
    <x v="67"/>
    <s v="Tunisie"/>
    <s v="TW"/>
    <x v="1"/>
    <n v="0.312"/>
    <x v="0"/>
  </r>
  <r>
    <x v="53"/>
    <s v="EU-España"/>
    <s v="UN"/>
    <x v="1"/>
    <n v="3"/>
    <x v="0"/>
  </r>
  <r>
    <x v="57"/>
    <s v="EU-España"/>
    <s v="UN"/>
    <x v="1"/>
    <n v="65"/>
    <x v="0"/>
  </r>
  <r>
    <x v="58"/>
    <s v="EU-España"/>
    <s v="UN"/>
    <x v="1"/>
    <n v="101"/>
    <x v="0"/>
  </r>
  <r>
    <x v="59"/>
    <s v="EU-España"/>
    <s v="UN"/>
    <x v="1"/>
    <n v="26"/>
    <x v="0"/>
  </r>
  <r>
    <x v="60"/>
    <s v="EU-España"/>
    <s v="UN"/>
    <x v="1"/>
    <n v="144"/>
    <x v="0"/>
  </r>
  <r>
    <x v="61"/>
    <s v="EU-España"/>
    <s v="UN"/>
    <x v="1"/>
    <n v="79"/>
    <x v="0"/>
  </r>
  <r>
    <x v="62"/>
    <s v="EU-España"/>
    <s v="UN"/>
    <x v="1"/>
    <n v="32"/>
    <x v="0"/>
  </r>
  <r>
    <x v="63"/>
    <s v="EU-España"/>
    <s v="UN"/>
    <x v="1"/>
    <n v="36"/>
    <x v="0"/>
  </r>
  <r>
    <x v="64"/>
    <s v="EU-España"/>
    <s v="UN"/>
    <x v="1"/>
    <n v="39.250999999999998"/>
    <x v="0"/>
  </r>
  <r>
    <x v="65"/>
    <s v="EU-España"/>
    <s v="UN"/>
    <x v="1"/>
    <n v="78.099999999999994"/>
    <x v="0"/>
  </r>
  <r>
    <x v="66"/>
    <s v="EU-España"/>
    <s v="UN"/>
    <x v="1"/>
    <n v="75.099999999999994"/>
    <x v="0"/>
  </r>
  <r>
    <x v="67"/>
    <s v="EU-España"/>
    <s v="UN"/>
    <x v="1"/>
    <n v="57.924999999999997"/>
    <x v="0"/>
  </r>
  <r>
    <x v="17"/>
    <s v="EU-España"/>
    <s v="UN"/>
    <x v="1"/>
    <n v="20.331"/>
    <x v="0"/>
  </r>
  <r>
    <x v="18"/>
    <s v="EU-España"/>
    <s v="UN"/>
    <x v="1"/>
    <n v="46.405000000000001"/>
    <x v="0"/>
  </r>
  <r>
    <x v="19"/>
    <s v="EU-España"/>
    <s v="UN"/>
    <x v="1"/>
    <n v="55.991"/>
    <x v="0"/>
  </r>
  <r>
    <x v="20"/>
    <s v="EU-España"/>
    <s v="UN"/>
    <x v="1"/>
    <n v="47.906149999999997"/>
    <x v="0"/>
  </r>
  <r>
    <x v="9"/>
    <s v="EU-España"/>
    <s v="UN"/>
    <x v="1"/>
    <n v="29.626000000000001"/>
    <x v="0"/>
  </r>
  <r>
    <x v="10"/>
    <s v="EU-España"/>
    <s v="UN"/>
    <x v="1"/>
    <n v="2.7290000000000001"/>
    <x v="0"/>
  </r>
  <r>
    <x v="11"/>
    <s v="EU-España"/>
    <s v="UN"/>
    <x v="1"/>
    <n v="4.7629999999999999"/>
    <x v="0"/>
  </r>
  <r>
    <x v="4"/>
    <s v="EU-España"/>
    <s v="UN"/>
    <x v="1"/>
    <n v="10.791"/>
    <x v="0"/>
  </r>
  <r>
    <x v="12"/>
    <s v="EU-España"/>
    <s v="UN"/>
    <x v="1"/>
    <n v="8.1010000000000009"/>
    <x v="0"/>
  </r>
  <r>
    <x v="13"/>
    <s v="EU-España"/>
    <s v="UN"/>
    <x v="1"/>
    <n v="0.878"/>
    <x v="0"/>
  </r>
  <r>
    <x v="3"/>
    <s v="EU-España"/>
    <s v="UN"/>
    <x v="1"/>
    <n v="52.970999999999997"/>
    <x v="0"/>
  </r>
  <r>
    <x v="5"/>
    <s v="EU-España"/>
    <s v="UN"/>
    <x v="1"/>
    <n v="3.8899999999999997E-2"/>
    <x v="0"/>
  </r>
  <r>
    <x v="60"/>
    <s v="Albania"/>
    <s v="UN"/>
    <x v="1"/>
    <n v="13"/>
    <x v="0"/>
  </r>
  <r>
    <x v="61"/>
    <s v="Albania"/>
    <s v="UN"/>
    <x v="1"/>
    <n v="13"/>
    <x v="0"/>
  </r>
  <r>
    <x v="62"/>
    <s v="Albania"/>
    <s v="UN"/>
    <x v="1"/>
    <n v="13"/>
    <x v="0"/>
  </r>
  <r>
    <x v="63"/>
    <s v="Albania"/>
    <s v="UN"/>
    <x v="1"/>
    <n v="13"/>
    <x v="0"/>
  </r>
  <r>
    <x v="10"/>
    <s v="EU-France"/>
    <s v="UN"/>
    <x v="1"/>
    <n v="1.4430099999999999"/>
    <x v="0"/>
  </r>
  <r>
    <x v="11"/>
    <s v="EU-France"/>
    <s v="UN"/>
    <x v="1"/>
    <n v="0.70904"/>
    <x v="0"/>
  </r>
  <r>
    <x v="4"/>
    <s v="EU-France"/>
    <s v="UN"/>
    <x v="1"/>
    <n v="38.572200000000002"/>
    <x v="0"/>
  </r>
  <r>
    <x v="12"/>
    <s v="EU-France"/>
    <s v="UN"/>
    <x v="1"/>
    <n v="1.32"/>
    <x v="0"/>
  </r>
  <r>
    <x v="13"/>
    <s v="EU-France"/>
    <s v="UN"/>
    <x v="1"/>
    <n v="4.1710000000000003"/>
    <x v="0"/>
  </r>
  <r>
    <x v="3"/>
    <s v="EU-France"/>
    <s v="UN"/>
    <x v="1"/>
    <n v="4.8000000000000001E-2"/>
    <x v="0"/>
  </r>
  <r>
    <x v="14"/>
    <s v="EU-France"/>
    <s v="UN"/>
    <x v="1"/>
    <n v="1.38303"/>
    <x v="0"/>
  </r>
  <r>
    <x v="15"/>
    <s v="EU-France"/>
    <s v="UN"/>
    <x v="1"/>
    <n v="0.47252"/>
    <x v="0"/>
  </r>
  <r>
    <x v="6"/>
    <s v="EU-France"/>
    <s v="UN"/>
    <x v="1"/>
    <n v="0.26384000000000002"/>
    <x v="0"/>
  </r>
  <r>
    <x v="7"/>
    <s v="EU-France"/>
    <s v="UN"/>
    <x v="1"/>
    <n v="0.24798999999999999"/>
    <x v="0"/>
  </r>
  <r>
    <x v="16"/>
    <s v="EU-France"/>
    <s v="UN"/>
    <x v="1"/>
    <n v="0.53220000000000001"/>
    <x v="0"/>
  </r>
  <r>
    <x v="8"/>
    <s v="EU-France"/>
    <s v="UN"/>
    <x v="1"/>
    <n v="0.5655"/>
    <x v="0"/>
  </r>
  <r>
    <x v="0"/>
    <s v="EU-France"/>
    <s v="UN"/>
    <x v="1"/>
    <n v="1.0450120000000001"/>
    <x v="0"/>
  </r>
  <r>
    <x v="1"/>
    <s v="EU-France"/>
    <s v="UN"/>
    <x v="1"/>
    <n v="0.21371999999999999"/>
    <x v="0"/>
  </r>
  <r>
    <x v="2"/>
    <s v="EU-France"/>
    <s v="UN"/>
    <x v="1"/>
    <n v="7.5749999999999998E-2"/>
    <x v="0"/>
  </r>
  <r>
    <x v="10"/>
    <s v="EU-Italy"/>
    <s v="UN"/>
    <x v="1"/>
    <n v="329.08638000000002"/>
    <x v="0"/>
  </r>
  <r>
    <x v="11"/>
    <s v="EU-Italy"/>
    <s v="UN"/>
    <x v="1"/>
    <n v="920.91530999999998"/>
    <x v="0"/>
  </r>
  <r>
    <x v="4"/>
    <s v="EU-Italy"/>
    <s v="UN"/>
    <x v="1"/>
    <n v="694.17526999999995"/>
    <x v="0"/>
  </r>
  <r>
    <x v="12"/>
    <s v="EU-Italy"/>
    <s v="UN"/>
    <x v="1"/>
    <n v="717.89700000000005"/>
    <x v="0"/>
  </r>
  <r>
    <x v="3"/>
    <s v="EU-Italy"/>
    <s v="UN"/>
    <x v="1"/>
    <n v="0.32819999999999999"/>
    <x v="0"/>
  </r>
  <r>
    <x v="6"/>
    <s v="EU-Italy"/>
    <s v="UN"/>
    <x v="1"/>
    <n v="0.12222"/>
    <x v="0"/>
  </r>
  <r>
    <x v="7"/>
    <s v="EU-Italy"/>
    <s v="UN"/>
    <x v="1"/>
    <n v="7.5570000000000004"/>
    <x v="0"/>
  </r>
  <r>
    <x v="7"/>
    <s v="EU-Malta"/>
    <s v="UN"/>
    <x v="1"/>
    <n v="0.10349999999999999"/>
    <x v="0"/>
  </r>
  <r>
    <x v="33"/>
    <s v="Libya"/>
    <s v="UN"/>
    <x v="1"/>
    <n v="224"/>
    <x v="0"/>
  </r>
  <r>
    <x v="34"/>
    <s v="Libya"/>
    <s v="UN"/>
    <x v="1"/>
    <n v="224"/>
    <x v="0"/>
  </r>
  <r>
    <x v="35"/>
    <s v="Libya"/>
    <s v="UN"/>
    <x v="1"/>
    <n v="336"/>
    <x v="0"/>
  </r>
  <r>
    <x v="36"/>
    <s v="Libya"/>
    <s v="UN"/>
    <x v="1"/>
    <n v="56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5D9133-9620-4EDF-99E8-A4B5F7D32ADD}" name="PivotTable10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4:AA81" firstHeaderRow="1" firstDataRow="2" firstDataCol="1" rowPageCount="1" colPageCount="1"/>
  <pivotFields count="6">
    <pivotField axis="axisRow" showAll="0">
      <items count="76">
        <item x="68"/>
        <item x="69"/>
        <item x="70"/>
        <item x="71"/>
        <item x="72"/>
        <item x="73"/>
        <item x="7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21"/>
        <item x="22"/>
        <item x="23"/>
        <item x="24"/>
        <item x="57"/>
        <item x="58"/>
        <item x="59"/>
        <item x="60"/>
        <item x="61"/>
        <item x="62"/>
        <item x="63"/>
        <item x="64"/>
        <item x="65"/>
        <item x="66"/>
        <item x="67"/>
        <item x="17"/>
        <item x="18"/>
        <item x="19"/>
        <item x="20"/>
        <item x="9"/>
        <item x="10"/>
        <item x="11"/>
        <item x="4"/>
        <item x="12"/>
        <item x="13"/>
        <item x="3"/>
        <item x="5"/>
        <item x="14"/>
        <item x="15"/>
        <item x="6"/>
        <item x="7"/>
        <item x="16"/>
        <item x="8"/>
        <item x="0"/>
        <item x="1"/>
        <item x="2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  <pivotField dataField="1" showAll="0"/>
    <pivotField axis="axisPage" multipleItemSelectionAllowed="1" showAll="0">
      <items count="3">
        <item h="1" x="1"/>
        <item x="0"/>
        <item t="default"/>
      </items>
    </pivotField>
  </pivotFields>
  <rowFields count="1">
    <field x="0"/>
  </rowFields>
  <rowItems count="7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 t="grand">
      <x/>
    </i>
  </rowItems>
  <colFields count="1">
    <field x="3"/>
  </colFields>
  <colItems count="3">
    <i>
      <x/>
    </i>
    <i>
      <x v="1"/>
    </i>
    <i t="grand">
      <x/>
    </i>
  </colItems>
  <pageFields count="1">
    <pageField fld="5" hier="-1"/>
  </pageFields>
  <dataFields count="1">
    <dataField name="Sum of Catch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09D0C3-A7DE-458A-B1AA-0688DE1B4AA6}" name="PivotTable9" cacheId="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E4:AF16" firstHeaderRow="1" firstDataRow="1" firstDataCol="1"/>
  <pivotFields count="3"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dataField="1" showAll="0"/>
    <pivotField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estDD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08543-ED89-4202-A505-8BD8FB78E67C}">
  <dimension ref="A1:AC174"/>
  <sheetViews>
    <sheetView tabSelected="1" zoomScaleNormal="100" workbookViewId="0">
      <selection activeCell="U12" sqref="U12"/>
    </sheetView>
  </sheetViews>
  <sheetFormatPr defaultRowHeight="15" x14ac:dyDescent="0.25"/>
  <sheetData>
    <row r="1" spans="3:29" x14ac:dyDescent="0.25">
      <c r="C1" s="5" t="s">
        <v>31</v>
      </c>
      <c r="D1" s="5" t="s">
        <v>27</v>
      </c>
    </row>
    <row r="2" spans="3:29" x14ac:dyDescent="0.25">
      <c r="D2" s="5" t="s">
        <v>26</v>
      </c>
    </row>
    <row r="3" spans="3:29" x14ac:dyDescent="0.25">
      <c r="D3" s="5" t="s">
        <v>28</v>
      </c>
    </row>
    <row r="4" spans="3:29" x14ac:dyDescent="0.25">
      <c r="D4" s="5" t="s">
        <v>17</v>
      </c>
      <c r="E4" s="1" t="s">
        <v>15</v>
      </c>
      <c r="F4" s="4" t="s">
        <v>16</v>
      </c>
      <c r="G4" s="1" t="s">
        <v>15</v>
      </c>
      <c r="H4" s="5" t="s">
        <v>17</v>
      </c>
      <c r="I4" s="1" t="str">
        <f>+G4</f>
        <v>Task1DD</v>
      </c>
      <c r="J4" s="5" t="str">
        <f>+H4</f>
        <v>Estimated by Secretariat</v>
      </c>
      <c r="K4" s="1" t="str">
        <f t="shared" ref="K4:AC4" si="0">+I4</f>
        <v>Task1DD</v>
      </c>
      <c r="L4" s="5" t="str">
        <f t="shared" si="0"/>
        <v>Estimated by Secretariat</v>
      </c>
      <c r="M4" s="1" t="str">
        <f t="shared" si="0"/>
        <v>Task1DD</v>
      </c>
      <c r="N4" s="5" t="str">
        <f t="shared" si="0"/>
        <v>Estimated by Secretariat</v>
      </c>
      <c r="O4" s="1" t="str">
        <f t="shared" si="0"/>
        <v>Task1DD</v>
      </c>
      <c r="P4" s="5" t="str">
        <f t="shared" si="0"/>
        <v>Estimated by Secretariat</v>
      </c>
      <c r="Q4" s="1" t="str">
        <f t="shared" si="0"/>
        <v>Task1DD</v>
      </c>
      <c r="R4" s="5" t="str">
        <f t="shared" si="0"/>
        <v>Estimated by Secretariat</v>
      </c>
      <c r="S4" s="1" t="str">
        <f t="shared" si="0"/>
        <v>Task1DD</v>
      </c>
      <c r="T4" s="5" t="str">
        <f t="shared" si="0"/>
        <v>Estimated by Secretariat</v>
      </c>
      <c r="U4" s="1" t="str">
        <f t="shared" si="0"/>
        <v>Task1DD</v>
      </c>
      <c r="V4" s="5" t="str">
        <f t="shared" si="0"/>
        <v>Estimated by Secretariat</v>
      </c>
      <c r="W4" s="1" t="str">
        <f t="shared" si="0"/>
        <v>Task1DD</v>
      </c>
      <c r="X4" s="5" t="str">
        <f t="shared" si="0"/>
        <v>Estimated by Secretariat</v>
      </c>
      <c r="Y4" s="1" t="str">
        <f t="shared" si="0"/>
        <v>Task1DD</v>
      </c>
      <c r="Z4" s="5" t="str">
        <f t="shared" si="0"/>
        <v>Estimated by Secretariat</v>
      </c>
      <c r="AA4" s="1" t="str">
        <f t="shared" si="0"/>
        <v>Task1DD</v>
      </c>
      <c r="AB4" s="5" t="str">
        <f t="shared" si="0"/>
        <v>Estimated by Secretariat</v>
      </c>
      <c r="AC4" s="1" t="str">
        <f t="shared" si="0"/>
        <v>Task1DD</v>
      </c>
    </row>
    <row r="5" spans="3:29" x14ac:dyDescent="0.25">
      <c r="C5" t="s">
        <v>0</v>
      </c>
      <c r="D5" t="s">
        <v>1</v>
      </c>
      <c r="E5" s="1" t="s">
        <v>1</v>
      </c>
      <c r="F5" t="s">
        <v>2</v>
      </c>
      <c r="G5" s="1" t="s">
        <v>2</v>
      </c>
      <c r="H5" t="s">
        <v>3</v>
      </c>
      <c r="I5" s="1" t="s">
        <v>3</v>
      </c>
      <c r="J5" t="s">
        <v>4</v>
      </c>
      <c r="K5" s="1" t="s">
        <v>4</v>
      </c>
      <c r="L5" t="s">
        <v>5</v>
      </c>
      <c r="M5" s="1" t="s">
        <v>5</v>
      </c>
      <c r="N5" t="s">
        <v>6</v>
      </c>
      <c r="O5" s="1" t="s">
        <v>6</v>
      </c>
      <c r="P5" t="s">
        <v>7</v>
      </c>
      <c r="Q5" s="1" t="s">
        <v>7</v>
      </c>
      <c r="R5" t="s">
        <v>8</v>
      </c>
      <c r="S5" s="1" t="s">
        <v>8</v>
      </c>
      <c r="T5" t="s">
        <v>9</v>
      </c>
      <c r="U5" s="1" t="s">
        <v>9</v>
      </c>
      <c r="V5" t="s">
        <v>10</v>
      </c>
      <c r="W5" s="1" t="s">
        <v>10</v>
      </c>
      <c r="X5" t="s">
        <v>11</v>
      </c>
      <c r="Y5" s="1" t="s">
        <v>11</v>
      </c>
      <c r="Z5" t="s">
        <v>12</v>
      </c>
      <c r="AA5" s="1" t="s">
        <v>12</v>
      </c>
      <c r="AB5" t="s">
        <v>13</v>
      </c>
      <c r="AC5" s="1" t="s">
        <v>13</v>
      </c>
    </row>
    <row r="6" spans="3:29" x14ac:dyDescent="0.25">
      <c r="C6">
        <v>2014</v>
      </c>
      <c r="D6">
        <v>0</v>
      </c>
      <c r="E6" s="1">
        <v>537.86406999999997</v>
      </c>
      <c r="F6">
        <v>0</v>
      </c>
      <c r="G6" s="1"/>
      <c r="H6">
        <v>153.33526419646813</v>
      </c>
      <c r="I6" s="1"/>
      <c r="J6">
        <v>0</v>
      </c>
      <c r="K6" s="1">
        <v>197.88937000000001</v>
      </c>
      <c r="L6">
        <v>0</v>
      </c>
      <c r="M6" s="1">
        <v>271.88983000000002</v>
      </c>
      <c r="N6">
        <v>0</v>
      </c>
      <c r="O6" s="1">
        <v>144.83017000000001</v>
      </c>
      <c r="P6">
        <v>43.409076827696147</v>
      </c>
      <c r="Q6" s="1"/>
      <c r="R6">
        <v>0</v>
      </c>
      <c r="S6" s="1">
        <v>15.771520000000001</v>
      </c>
      <c r="T6">
        <v>6.7466396998118032</v>
      </c>
      <c r="U6" s="1"/>
      <c r="V6">
        <v>0</v>
      </c>
      <c r="W6" s="1"/>
      <c r="X6">
        <v>13.721568838507743</v>
      </c>
      <c r="Y6" s="1"/>
      <c r="Z6">
        <v>1.4328404026732089</v>
      </c>
      <c r="AA6" s="1"/>
      <c r="AB6">
        <v>4.1739730381754332E-2</v>
      </c>
      <c r="AC6" s="1"/>
    </row>
    <row r="7" spans="3:29" x14ac:dyDescent="0.25">
      <c r="C7">
        <v>2015</v>
      </c>
      <c r="D7">
        <v>0</v>
      </c>
      <c r="E7" s="1">
        <v>669.76264000000003</v>
      </c>
      <c r="F7">
        <v>35.340018626201598</v>
      </c>
      <c r="G7" s="1">
        <v>6.7089999999999996</v>
      </c>
      <c r="H7">
        <v>86.794320796997113</v>
      </c>
      <c r="I7" s="1"/>
      <c r="J7">
        <v>0</v>
      </c>
      <c r="K7" s="1">
        <v>123.46241000000001</v>
      </c>
      <c r="L7">
        <v>0</v>
      </c>
      <c r="M7" s="1">
        <v>272.94571000000002</v>
      </c>
      <c r="N7">
        <v>0</v>
      </c>
      <c r="O7" s="1">
        <v>147.27955</v>
      </c>
      <c r="P7">
        <v>56.420346818199683</v>
      </c>
      <c r="Q7" s="1"/>
      <c r="R7">
        <v>0</v>
      </c>
      <c r="S7" s="1">
        <v>9.8819700000000008</v>
      </c>
      <c r="T7">
        <v>5.1592898325264791</v>
      </c>
      <c r="U7" s="1"/>
      <c r="V7">
        <v>67.081709542105173</v>
      </c>
      <c r="W7" s="1">
        <v>0</v>
      </c>
      <c r="X7">
        <v>20.585000832416885</v>
      </c>
      <c r="Y7" s="1"/>
      <c r="Z7">
        <v>0.59793416800609089</v>
      </c>
      <c r="AA7" s="1"/>
      <c r="AB7">
        <v>0</v>
      </c>
      <c r="AC7" s="1"/>
    </row>
    <row r="8" spans="3:29" x14ac:dyDescent="0.25">
      <c r="C8">
        <v>2016</v>
      </c>
      <c r="D8">
        <v>0</v>
      </c>
      <c r="E8" s="1">
        <v>622.66890999999998</v>
      </c>
      <c r="F8">
        <v>16.0439601474943</v>
      </c>
      <c r="G8" s="1"/>
      <c r="H8">
        <v>86.804703984661472</v>
      </c>
      <c r="I8" s="1"/>
      <c r="J8">
        <v>0</v>
      </c>
      <c r="K8" s="1">
        <v>285.26909000000001</v>
      </c>
      <c r="L8">
        <v>0</v>
      </c>
      <c r="M8" s="1">
        <v>265.82166999999998</v>
      </c>
      <c r="N8">
        <v>0</v>
      </c>
      <c r="O8" s="1">
        <v>175.75011000000001</v>
      </c>
      <c r="P8">
        <v>47.235715304345177</v>
      </c>
      <c r="Q8" s="1"/>
      <c r="R8">
        <v>0</v>
      </c>
      <c r="S8" s="1">
        <v>19.783770000000001</v>
      </c>
      <c r="T8">
        <v>4.9768953465436416</v>
      </c>
      <c r="U8" s="1"/>
      <c r="V8">
        <v>110.08280540242902</v>
      </c>
      <c r="W8" s="1"/>
      <c r="X8">
        <v>19.808760098130445</v>
      </c>
      <c r="Y8" s="1"/>
      <c r="Z8">
        <v>2.4059293799170973</v>
      </c>
      <c r="AA8" s="1"/>
      <c r="AB8">
        <v>0</v>
      </c>
      <c r="AC8" s="1"/>
    </row>
    <row r="9" spans="3:29" x14ac:dyDescent="0.25">
      <c r="C9">
        <v>2017</v>
      </c>
      <c r="D9">
        <v>0</v>
      </c>
      <c r="E9" s="1">
        <v>907.38449000000003</v>
      </c>
      <c r="F9">
        <v>96.4153033763792</v>
      </c>
      <c r="G9" s="1"/>
      <c r="H9">
        <v>127.78784382548147</v>
      </c>
      <c r="I9" s="1"/>
      <c r="J9">
        <v>0</v>
      </c>
      <c r="K9" s="1">
        <v>350.2629</v>
      </c>
      <c r="L9">
        <v>0</v>
      </c>
      <c r="M9" s="1">
        <v>374.29800999999998</v>
      </c>
      <c r="N9">
        <v>0</v>
      </c>
      <c r="O9" s="1">
        <v>205.26372000000001</v>
      </c>
      <c r="P9">
        <v>136.41963400893735</v>
      </c>
      <c r="Q9" s="1"/>
      <c r="R9">
        <v>0</v>
      </c>
      <c r="S9" s="1">
        <v>151.15246999999999</v>
      </c>
      <c r="T9">
        <v>19.763193071509821</v>
      </c>
      <c r="U9" s="1"/>
      <c r="V9">
        <v>11.634578170732116</v>
      </c>
      <c r="W9" s="1"/>
      <c r="X9">
        <v>43.799500592790523</v>
      </c>
      <c r="Y9" s="1"/>
      <c r="Z9">
        <v>6.6463353552574631</v>
      </c>
      <c r="AA9" s="1"/>
      <c r="AB9">
        <v>0</v>
      </c>
      <c r="AC9" s="1"/>
    </row>
    <row r="10" spans="3:29" x14ac:dyDescent="0.25">
      <c r="C10">
        <v>2018</v>
      </c>
      <c r="D10">
        <v>0</v>
      </c>
      <c r="E10" s="1">
        <v>534.95600999999999</v>
      </c>
      <c r="F10">
        <v>95.021806725970904</v>
      </c>
      <c r="G10" s="1">
        <v>83.529499999999999</v>
      </c>
      <c r="H10">
        <v>114.18344041143409</v>
      </c>
      <c r="I10" s="1"/>
      <c r="J10">
        <v>0</v>
      </c>
      <c r="K10" s="1">
        <v>354.81632000000002</v>
      </c>
      <c r="L10">
        <v>0</v>
      </c>
      <c r="M10" s="1">
        <v>363.50337999999999</v>
      </c>
      <c r="N10">
        <v>0</v>
      </c>
      <c r="O10" s="1">
        <v>197.05316999999999</v>
      </c>
      <c r="P10">
        <v>127.03471070489449</v>
      </c>
      <c r="Q10" s="1"/>
      <c r="R10">
        <v>0</v>
      </c>
      <c r="S10" s="1">
        <v>147.97722999999999</v>
      </c>
      <c r="T10">
        <v>18.100820009667068</v>
      </c>
      <c r="U10" s="1"/>
      <c r="V10">
        <v>27.147349065041603</v>
      </c>
      <c r="W10" s="1">
        <v>0</v>
      </c>
      <c r="X10">
        <v>33.882463727932624</v>
      </c>
      <c r="Y10" s="1"/>
      <c r="Z10">
        <v>10.744459462723034</v>
      </c>
      <c r="AA10" s="1"/>
      <c r="AB10">
        <v>1.5512770894309487</v>
      </c>
      <c r="AC10" s="1"/>
    </row>
    <row r="11" spans="3:29" x14ac:dyDescent="0.25">
      <c r="C11">
        <v>2019</v>
      </c>
      <c r="D11">
        <v>1000.8073848068221</v>
      </c>
      <c r="E11" s="1"/>
      <c r="F11">
        <v>46.771403029443498</v>
      </c>
      <c r="G11" s="3">
        <v>89.391090000000005</v>
      </c>
      <c r="H11">
        <v>242.85586371220288</v>
      </c>
      <c r="I11" s="1"/>
      <c r="J11">
        <v>406.34369654843982</v>
      </c>
      <c r="K11" s="1">
        <v>0</v>
      </c>
      <c r="L11">
        <v>385.69008531409975</v>
      </c>
      <c r="M11" s="1"/>
      <c r="N11">
        <v>200.69259525240543</v>
      </c>
      <c r="O11" s="1"/>
      <c r="P11">
        <v>167.98202225768557</v>
      </c>
      <c r="Q11" s="1"/>
      <c r="R11">
        <v>159.74223275775552</v>
      </c>
      <c r="S11" s="1"/>
      <c r="T11">
        <v>9.5913187851431054</v>
      </c>
      <c r="U11" s="1"/>
      <c r="V11">
        <v>10.083301081301167</v>
      </c>
      <c r="W11" s="1">
        <v>0</v>
      </c>
      <c r="X11">
        <v>28.03057017227361</v>
      </c>
      <c r="Y11" s="1"/>
      <c r="Z11">
        <v>12.60109781548881</v>
      </c>
      <c r="AA11" s="1"/>
      <c r="AB11">
        <v>0</v>
      </c>
      <c r="AC11" s="1"/>
    </row>
    <row r="12" spans="3:29" x14ac:dyDescent="0.25">
      <c r="C12">
        <v>2020</v>
      </c>
      <c r="D12">
        <v>907.41008500892758</v>
      </c>
      <c r="E12" s="1"/>
      <c r="F12">
        <v>145.20124986586498</v>
      </c>
      <c r="G12" s="1"/>
      <c r="H12">
        <v>214.25725729373619</v>
      </c>
      <c r="I12" s="1"/>
      <c r="J12">
        <v>393.41198401397418</v>
      </c>
      <c r="K12" s="1">
        <v>0</v>
      </c>
      <c r="L12">
        <v>379.04993909156144</v>
      </c>
      <c r="M12" s="1"/>
      <c r="N12">
        <v>194.27806448760845</v>
      </c>
      <c r="O12" s="2">
        <v>0</v>
      </c>
      <c r="P12">
        <v>149.18250018688724</v>
      </c>
      <c r="Q12" s="1"/>
      <c r="R12">
        <v>155.53086918632042</v>
      </c>
      <c r="S12" s="1"/>
      <c r="T12">
        <v>11.923900737211062</v>
      </c>
      <c r="U12" s="2">
        <v>0.35099999999999998</v>
      </c>
      <c r="V12">
        <v>8.5320239918702168</v>
      </c>
      <c r="W12" s="1">
        <v>0</v>
      </c>
      <c r="X12">
        <v>42.408642475867914</v>
      </c>
      <c r="Y12" s="1"/>
      <c r="Z12">
        <v>9.2247686876824577</v>
      </c>
      <c r="AA12" s="2">
        <v>2.5999999999999999E-2</v>
      </c>
      <c r="AB12">
        <v>1.5512770894309487</v>
      </c>
      <c r="AC12" s="1"/>
    </row>
    <row r="13" spans="3:29" x14ac:dyDescent="0.25">
      <c r="C13">
        <v>2021</v>
      </c>
      <c r="D13">
        <v>812.70251308370166</v>
      </c>
      <c r="E13" s="1"/>
      <c r="F13">
        <v>87.097877492947092</v>
      </c>
      <c r="G13" s="3">
        <v>187.96349000000001</v>
      </c>
      <c r="H13">
        <v>223.52681270993412</v>
      </c>
      <c r="I13" s="1"/>
      <c r="J13">
        <v>382.32529508487369</v>
      </c>
      <c r="K13" s="1">
        <v>0</v>
      </c>
      <c r="L13">
        <v>367.79307428892503</v>
      </c>
      <c r="M13" s="1"/>
      <c r="N13">
        <v>172.87044065346134</v>
      </c>
      <c r="O13" s="1"/>
      <c r="P13">
        <v>161.49165650264786</v>
      </c>
      <c r="Q13" s="1"/>
      <c r="R13">
        <v>147.61698066750375</v>
      </c>
      <c r="S13" s="1"/>
      <c r="T13">
        <v>22.192202224192819</v>
      </c>
      <c r="U13" s="2"/>
      <c r="V13">
        <v>7.3685661747970066</v>
      </c>
      <c r="W13" s="1">
        <v>0</v>
      </c>
      <c r="X13">
        <v>37.0571310591409</v>
      </c>
      <c r="Y13" s="1"/>
      <c r="Z13">
        <v>9.7333792945390893</v>
      </c>
      <c r="AA13" s="2">
        <v>8.9999999999999993E-3</v>
      </c>
      <c r="AB13">
        <v>2.7147349065041602</v>
      </c>
      <c r="AC13" s="1"/>
    </row>
    <row r="14" spans="3:29" x14ac:dyDescent="0.25">
      <c r="C14">
        <v>2022</v>
      </c>
      <c r="D14">
        <v>828.88551009018715</v>
      </c>
      <c r="E14" s="1"/>
      <c r="F14">
        <v>249.16247836086799</v>
      </c>
      <c r="G14" s="1">
        <v>90</v>
      </c>
      <c r="H14">
        <v>120.84967148325492</v>
      </c>
      <c r="I14" s="1"/>
      <c r="J14">
        <v>368.53312311113461</v>
      </c>
      <c r="K14" s="1">
        <v>0</v>
      </c>
      <c r="L14">
        <v>353.98710360123101</v>
      </c>
      <c r="M14" s="1"/>
      <c r="N14">
        <v>182.96653977075033</v>
      </c>
      <c r="O14" s="1"/>
      <c r="P14">
        <v>157.09802562049344</v>
      </c>
      <c r="Q14" s="1"/>
      <c r="R14">
        <v>126.50638311835509</v>
      </c>
      <c r="S14" s="1"/>
      <c r="T14">
        <v>14.432220067021406</v>
      </c>
      <c r="U14" s="2">
        <v>0.02</v>
      </c>
      <c r="V14">
        <v>8.14420471951248</v>
      </c>
      <c r="W14" s="1">
        <v>0</v>
      </c>
      <c r="X14">
        <v>24.36747108535776</v>
      </c>
      <c r="Y14" s="1">
        <v>0</v>
      </c>
      <c r="Z14">
        <v>14.992376932262577</v>
      </c>
      <c r="AA14" s="2">
        <v>0.221</v>
      </c>
      <c r="AB14">
        <v>10.083301081301167</v>
      </c>
      <c r="AC14" s="1">
        <v>0</v>
      </c>
    </row>
    <row r="15" spans="3:29" x14ac:dyDescent="0.25">
      <c r="C15">
        <v>2023</v>
      </c>
      <c r="D15">
        <v>934.30638544806095</v>
      </c>
      <c r="E15" s="1"/>
      <c r="F15">
        <v>187.427042735263</v>
      </c>
      <c r="G15" s="1">
        <v>107.236</v>
      </c>
      <c r="H15">
        <v>144.79237884229877</v>
      </c>
      <c r="I15" s="1"/>
      <c r="J15">
        <v>370.85388150263657</v>
      </c>
      <c r="K15" s="1"/>
      <c r="L15">
        <v>302.77951824848981</v>
      </c>
      <c r="M15" s="1"/>
      <c r="N15">
        <v>182.95374173476253</v>
      </c>
      <c r="O15" s="1"/>
      <c r="P15">
        <v>148.52191682227991</v>
      </c>
      <c r="Q15" s="1"/>
      <c r="R15">
        <v>142.18523177821663</v>
      </c>
      <c r="S15" s="1"/>
      <c r="T15">
        <v>22.862144146548538</v>
      </c>
      <c r="U15" s="2">
        <v>0.23200000000000001</v>
      </c>
      <c r="V15">
        <v>96.954818089434298</v>
      </c>
      <c r="W15" s="1"/>
      <c r="X15">
        <v>25.960528824298699</v>
      </c>
      <c r="Y15" s="1">
        <v>0</v>
      </c>
      <c r="Z15">
        <v>15.786919682038343</v>
      </c>
      <c r="AA15" s="2">
        <v>1.2509999999999999</v>
      </c>
      <c r="AB15">
        <v>28.310806882114814</v>
      </c>
      <c r="AC15" s="1"/>
    </row>
    <row r="16" spans="3:29" x14ac:dyDescent="0.25">
      <c r="C16">
        <v>2024</v>
      </c>
      <c r="D16">
        <v>1246.9394882698637</v>
      </c>
      <c r="E16" s="1"/>
      <c r="F16">
        <v>125.840018608311</v>
      </c>
      <c r="G16" s="1">
        <v>66.843999999999994</v>
      </c>
      <c r="H16">
        <v>163.3464303202779</v>
      </c>
      <c r="I16" s="1"/>
      <c r="J16">
        <v>370.85388150263657</v>
      </c>
      <c r="K16" s="1">
        <v>0</v>
      </c>
      <c r="L16">
        <v>329.74244314284323</v>
      </c>
      <c r="M16" s="1"/>
      <c r="N16">
        <v>183.16704233455928</v>
      </c>
      <c r="O16" s="1"/>
      <c r="P16">
        <v>154.44108731545447</v>
      </c>
      <c r="Q16" s="1"/>
      <c r="R16">
        <v>142.51618372882058</v>
      </c>
      <c r="S16" s="1"/>
      <c r="T16">
        <v>24.467402819623704</v>
      </c>
      <c r="U16" s="2">
        <v>0.38819999999999999</v>
      </c>
      <c r="V16">
        <v>46.538312682928463</v>
      </c>
      <c r="W16" s="1"/>
      <c r="X16">
        <v>30.499915604977403</v>
      </c>
      <c r="Y16" s="2">
        <v>8.7999999999999995E-2</v>
      </c>
      <c r="Z16">
        <v>15.491497170832858</v>
      </c>
      <c r="AA16" s="2">
        <v>0.55400000000000005</v>
      </c>
      <c r="AB16">
        <v>38.781927235773722</v>
      </c>
      <c r="AC16" s="1">
        <v>0</v>
      </c>
    </row>
    <row r="18" spans="1:21" x14ac:dyDescent="0.25">
      <c r="G18" s="3" t="s">
        <v>19</v>
      </c>
      <c r="U18" s="2" t="s">
        <v>18</v>
      </c>
    </row>
    <row r="23" spans="1:21" s="6" customFormat="1" x14ac:dyDescent="0.25">
      <c r="A23" s="6" t="s">
        <v>30</v>
      </c>
    </row>
    <row r="24" spans="1:21" x14ac:dyDescent="0.25">
      <c r="C24">
        <v>0</v>
      </c>
      <c r="D24" s="1" t="s">
        <v>21</v>
      </c>
    </row>
    <row r="25" spans="1:21" x14ac:dyDescent="0.25">
      <c r="C25">
        <v>1</v>
      </c>
      <c r="D25" t="s">
        <v>22</v>
      </c>
      <c r="E25" t="s">
        <v>2</v>
      </c>
      <c r="F25" s="3" t="s">
        <v>23</v>
      </c>
    </row>
    <row r="26" spans="1:21" x14ac:dyDescent="0.25">
      <c r="C26">
        <v>2</v>
      </c>
      <c r="D26" t="s">
        <v>22</v>
      </c>
      <c r="E26" s="7" t="s">
        <v>9</v>
      </c>
      <c r="F26" s="7" t="s">
        <v>10</v>
      </c>
      <c r="G26" s="7" t="s">
        <v>11</v>
      </c>
      <c r="H26" s="7" t="s">
        <v>12</v>
      </c>
      <c r="I26" s="7" t="s">
        <v>13</v>
      </c>
      <c r="J26" s="2" t="s">
        <v>24</v>
      </c>
    </row>
    <row r="27" spans="1:21" x14ac:dyDescent="0.25">
      <c r="C27">
        <v>3</v>
      </c>
      <c r="D27" t="s">
        <v>29</v>
      </c>
      <c r="E27" s="7" t="s">
        <v>6</v>
      </c>
      <c r="F27" s="2" t="s">
        <v>45</v>
      </c>
      <c r="G27" s="7"/>
      <c r="H27" s="7"/>
      <c r="I27" s="7"/>
    </row>
    <row r="28" spans="1:21" x14ac:dyDescent="0.25">
      <c r="C28">
        <v>4</v>
      </c>
      <c r="D28" t="s">
        <v>25</v>
      </c>
    </row>
    <row r="31" spans="1:21" x14ac:dyDescent="0.25">
      <c r="C31" t="s">
        <v>0</v>
      </c>
      <c r="D31" t="s">
        <v>20</v>
      </c>
      <c r="E31" t="s">
        <v>14</v>
      </c>
    </row>
    <row r="32" spans="1:21" x14ac:dyDescent="0.25">
      <c r="C32">
        <v>2014</v>
      </c>
      <c r="D32">
        <v>0</v>
      </c>
      <c r="E32" t="s">
        <v>1</v>
      </c>
    </row>
    <row r="33" spans="3:5" x14ac:dyDescent="0.25">
      <c r="C33">
        <v>2015</v>
      </c>
      <c r="D33">
        <v>0</v>
      </c>
      <c r="E33" t="s">
        <v>1</v>
      </c>
    </row>
    <row r="34" spans="3:5" x14ac:dyDescent="0.25">
      <c r="C34">
        <v>2016</v>
      </c>
      <c r="D34">
        <v>0</v>
      </c>
      <c r="E34" t="s">
        <v>1</v>
      </c>
    </row>
    <row r="35" spans="3:5" x14ac:dyDescent="0.25">
      <c r="C35">
        <v>2017</v>
      </c>
      <c r="D35">
        <v>0</v>
      </c>
      <c r="E35" t="s">
        <v>1</v>
      </c>
    </row>
    <row r="36" spans="3:5" x14ac:dyDescent="0.25">
      <c r="C36">
        <v>2018</v>
      </c>
      <c r="D36">
        <v>0</v>
      </c>
      <c r="E36" t="s">
        <v>1</v>
      </c>
    </row>
    <row r="37" spans="3:5" x14ac:dyDescent="0.25">
      <c r="C37">
        <v>2019</v>
      </c>
      <c r="D37">
        <v>1000.8073848068221</v>
      </c>
      <c r="E37" t="s">
        <v>1</v>
      </c>
    </row>
    <row r="38" spans="3:5" x14ac:dyDescent="0.25">
      <c r="C38">
        <v>2020</v>
      </c>
      <c r="D38">
        <v>907.41008500892758</v>
      </c>
      <c r="E38" t="s">
        <v>1</v>
      </c>
    </row>
    <row r="39" spans="3:5" x14ac:dyDescent="0.25">
      <c r="C39">
        <v>2021</v>
      </c>
      <c r="D39">
        <v>812.70251308370166</v>
      </c>
      <c r="E39" t="s">
        <v>1</v>
      </c>
    </row>
    <row r="40" spans="3:5" x14ac:dyDescent="0.25">
      <c r="C40">
        <v>2022</v>
      </c>
      <c r="D40">
        <v>828.88551009018715</v>
      </c>
      <c r="E40" t="s">
        <v>1</v>
      </c>
    </row>
    <row r="41" spans="3:5" x14ac:dyDescent="0.25">
      <c r="C41">
        <v>2023</v>
      </c>
      <c r="D41">
        <v>934.30638544806095</v>
      </c>
      <c r="E41" t="s">
        <v>1</v>
      </c>
    </row>
    <row r="42" spans="3:5" x14ac:dyDescent="0.25">
      <c r="C42">
        <v>2024</v>
      </c>
      <c r="D42">
        <v>1246.9394882698637</v>
      </c>
      <c r="E42" t="s">
        <v>1</v>
      </c>
    </row>
    <row r="43" spans="3:5" x14ac:dyDescent="0.25">
      <c r="C43">
        <v>2014</v>
      </c>
      <c r="D43">
        <v>0</v>
      </c>
      <c r="E43" t="s">
        <v>2</v>
      </c>
    </row>
    <row r="44" spans="3:5" x14ac:dyDescent="0.25">
      <c r="C44">
        <v>2015</v>
      </c>
      <c r="D44">
        <v>35.340018626201598</v>
      </c>
      <c r="E44" t="s">
        <v>2</v>
      </c>
    </row>
    <row r="45" spans="3:5" x14ac:dyDescent="0.25">
      <c r="C45">
        <v>2016</v>
      </c>
      <c r="D45">
        <v>16.0439601474943</v>
      </c>
      <c r="E45" t="s">
        <v>2</v>
      </c>
    </row>
    <row r="46" spans="3:5" x14ac:dyDescent="0.25">
      <c r="C46">
        <v>2017</v>
      </c>
      <c r="D46">
        <v>96.4153033763792</v>
      </c>
      <c r="E46" t="s">
        <v>2</v>
      </c>
    </row>
    <row r="47" spans="3:5" x14ac:dyDescent="0.25">
      <c r="C47">
        <v>2018</v>
      </c>
      <c r="D47">
        <v>95.021806725970904</v>
      </c>
      <c r="E47" t="s">
        <v>2</v>
      </c>
    </row>
    <row r="48" spans="3:5" x14ac:dyDescent="0.25">
      <c r="C48">
        <v>2019</v>
      </c>
      <c r="D48">
        <v>46.771403029443498</v>
      </c>
      <c r="E48" t="s">
        <v>2</v>
      </c>
    </row>
    <row r="49" spans="3:5" x14ac:dyDescent="0.25">
      <c r="C49">
        <v>2020</v>
      </c>
      <c r="D49">
        <v>145.20124986586498</v>
      </c>
      <c r="E49" t="s">
        <v>2</v>
      </c>
    </row>
    <row r="50" spans="3:5" x14ac:dyDescent="0.25">
      <c r="C50">
        <v>2021</v>
      </c>
      <c r="D50">
        <v>87.097877492947092</v>
      </c>
      <c r="E50" t="s">
        <v>2</v>
      </c>
    </row>
    <row r="51" spans="3:5" x14ac:dyDescent="0.25">
      <c r="C51">
        <v>2022</v>
      </c>
      <c r="D51">
        <v>249.16247836086799</v>
      </c>
      <c r="E51" t="s">
        <v>2</v>
      </c>
    </row>
    <row r="52" spans="3:5" x14ac:dyDescent="0.25">
      <c r="C52">
        <v>2023</v>
      </c>
      <c r="D52">
        <v>187.427042735263</v>
      </c>
      <c r="E52" t="s">
        <v>2</v>
      </c>
    </row>
    <row r="53" spans="3:5" x14ac:dyDescent="0.25">
      <c r="C53">
        <v>2024</v>
      </c>
      <c r="D53">
        <v>125.840018608311</v>
      </c>
      <c r="E53" t="s">
        <v>2</v>
      </c>
    </row>
    <row r="54" spans="3:5" x14ac:dyDescent="0.25">
      <c r="C54">
        <v>2014</v>
      </c>
      <c r="D54">
        <v>153.33526419646813</v>
      </c>
      <c r="E54" t="s">
        <v>3</v>
      </c>
    </row>
    <row r="55" spans="3:5" x14ac:dyDescent="0.25">
      <c r="C55">
        <v>2015</v>
      </c>
      <c r="D55">
        <v>86.794320796997113</v>
      </c>
      <c r="E55" t="s">
        <v>3</v>
      </c>
    </row>
    <row r="56" spans="3:5" x14ac:dyDescent="0.25">
      <c r="C56">
        <v>2016</v>
      </c>
      <c r="D56">
        <v>86.804703984661472</v>
      </c>
      <c r="E56" t="s">
        <v>3</v>
      </c>
    </row>
    <row r="57" spans="3:5" x14ac:dyDescent="0.25">
      <c r="C57">
        <v>2017</v>
      </c>
      <c r="D57">
        <v>127.78784382548147</v>
      </c>
      <c r="E57" t="s">
        <v>3</v>
      </c>
    </row>
    <row r="58" spans="3:5" x14ac:dyDescent="0.25">
      <c r="C58">
        <v>2018</v>
      </c>
      <c r="D58">
        <v>114.18344041143409</v>
      </c>
      <c r="E58" t="s">
        <v>3</v>
      </c>
    </row>
    <row r="59" spans="3:5" x14ac:dyDescent="0.25">
      <c r="C59">
        <v>2019</v>
      </c>
      <c r="D59">
        <v>242.85586371220288</v>
      </c>
      <c r="E59" t="s">
        <v>3</v>
      </c>
    </row>
    <row r="60" spans="3:5" x14ac:dyDescent="0.25">
      <c r="C60">
        <v>2020</v>
      </c>
      <c r="D60">
        <v>214.25725729373619</v>
      </c>
      <c r="E60" t="s">
        <v>3</v>
      </c>
    </row>
    <row r="61" spans="3:5" x14ac:dyDescent="0.25">
      <c r="C61">
        <v>2021</v>
      </c>
      <c r="D61">
        <v>223.52681270993412</v>
      </c>
      <c r="E61" t="s">
        <v>3</v>
      </c>
    </row>
    <row r="62" spans="3:5" x14ac:dyDescent="0.25">
      <c r="C62">
        <v>2022</v>
      </c>
      <c r="D62">
        <v>120.84967148325492</v>
      </c>
      <c r="E62" t="s">
        <v>3</v>
      </c>
    </row>
    <row r="63" spans="3:5" x14ac:dyDescent="0.25">
      <c r="C63">
        <v>2023</v>
      </c>
      <c r="D63">
        <v>144.79237884229877</v>
      </c>
      <c r="E63" t="s">
        <v>3</v>
      </c>
    </row>
    <row r="64" spans="3:5" x14ac:dyDescent="0.25">
      <c r="C64">
        <v>2024</v>
      </c>
      <c r="D64">
        <v>163.3464303202779</v>
      </c>
      <c r="E64" t="s">
        <v>3</v>
      </c>
    </row>
    <row r="65" spans="3:5" x14ac:dyDescent="0.25">
      <c r="C65">
        <v>2014</v>
      </c>
      <c r="D65">
        <v>0</v>
      </c>
      <c r="E65" t="s">
        <v>4</v>
      </c>
    </row>
    <row r="66" spans="3:5" x14ac:dyDescent="0.25">
      <c r="C66">
        <v>2015</v>
      </c>
      <c r="D66">
        <v>0</v>
      </c>
      <c r="E66" t="s">
        <v>4</v>
      </c>
    </row>
    <row r="67" spans="3:5" x14ac:dyDescent="0.25">
      <c r="C67">
        <v>2016</v>
      </c>
      <c r="D67">
        <v>0</v>
      </c>
      <c r="E67" t="s">
        <v>4</v>
      </c>
    </row>
    <row r="68" spans="3:5" x14ac:dyDescent="0.25">
      <c r="C68">
        <v>2017</v>
      </c>
      <c r="D68">
        <v>0</v>
      </c>
      <c r="E68" t="s">
        <v>4</v>
      </c>
    </row>
    <row r="69" spans="3:5" x14ac:dyDescent="0.25">
      <c r="C69">
        <v>2018</v>
      </c>
      <c r="D69">
        <v>0</v>
      </c>
      <c r="E69" t="s">
        <v>4</v>
      </c>
    </row>
    <row r="70" spans="3:5" x14ac:dyDescent="0.25">
      <c r="C70">
        <v>2019</v>
      </c>
      <c r="D70">
        <v>406.34369654843982</v>
      </c>
      <c r="E70" t="s">
        <v>4</v>
      </c>
    </row>
    <row r="71" spans="3:5" x14ac:dyDescent="0.25">
      <c r="C71">
        <v>2020</v>
      </c>
      <c r="D71">
        <v>393.41198401397418</v>
      </c>
      <c r="E71" t="s">
        <v>4</v>
      </c>
    </row>
    <row r="72" spans="3:5" x14ac:dyDescent="0.25">
      <c r="C72">
        <v>2021</v>
      </c>
      <c r="D72">
        <v>382.32529508487369</v>
      </c>
      <c r="E72" t="s">
        <v>4</v>
      </c>
    </row>
    <row r="73" spans="3:5" x14ac:dyDescent="0.25">
      <c r="C73">
        <v>2022</v>
      </c>
      <c r="D73">
        <v>368.53312311113461</v>
      </c>
      <c r="E73" t="s">
        <v>4</v>
      </c>
    </row>
    <row r="74" spans="3:5" x14ac:dyDescent="0.25">
      <c r="C74">
        <v>2023</v>
      </c>
      <c r="D74">
        <v>370.85388150263657</v>
      </c>
      <c r="E74" t="s">
        <v>4</v>
      </c>
    </row>
    <row r="75" spans="3:5" x14ac:dyDescent="0.25">
      <c r="C75">
        <v>2024</v>
      </c>
      <c r="D75">
        <v>370.85388150263657</v>
      </c>
      <c r="E75" t="s">
        <v>4</v>
      </c>
    </row>
    <row r="76" spans="3:5" x14ac:dyDescent="0.25">
      <c r="C76">
        <v>2014</v>
      </c>
      <c r="D76">
        <v>0</v>
      </c>
      <c r="E76" t="s">
        <v>5</v>
      </c>
    </row>
    <row r="77" spans="3:5" x14ac:dyDescent="0.25">
      <c r="C77">
        <v>2015</v>
      </c>
      <c r="D77">
        <v>0</v>
      </c>
      <c r="E77" t="s">
        <v>5</v>
      </c>
    </row>
    <row r="78" spans="3:5" x14ac:dyDescent="0.25">
      <c r="C78">
        <v>2016</v>
      </c>
      <c r="D78">
        <v>0</v>
      </c>
      <c r="E78" t="s">
        <v>5</v>
      </c>
    </row>
    <row r="79" spans="3:5" x14ac:dyDescent="0.25">
      <c r="C79">
        <v>2017</v>
      </c>
      <c r="D79">
        <v>0</v>
      </c>
      <c r="E79" t="s">
        <v>5</v>
      </c>
    </row>
    <row r="80" spans="3:5" x14ac:dyDescent="0.25">
      <c r="C80">
        <v>2018</v>
      </c>
      <c r="D80">
        <v>0</v>
      </c>
      <c r="E80" t="s">
        <v>5</v>
      </c>
    </row>
    <row r="81" spans="3:5" x14ac:dyDescent="0.25">
      <c r="C81">
        <v>2019</v>
      </c>
      <c r="D81">
        <v>385.69008531409975</v>
      </c>
      <c r="E81" t="s">
        <v>5</v>
      </c>
    </row>
    <row r="82" spans="3:5" x14ac:dyDescent="0.25">
      <c r="C82">
        <v>2020</v>
      </c>
      <c r="D82">
        <v>379.04993909156144</v>
      </c>
      <c r="E82" t="s">
        <v>5</v>
      </c>
    </row>
    <row r="83" spans="3:5" x14ac:dyDescent="0.25">
      <c r="C83">
        <v>2021</v>
      </c>
      <c r="D83">
        <v>367.79307428892503</v>
      </c>
      <c r="E83" t="s">
        <v>5</v>
      </c>
    </row>
    <row r="84" spans="3:5" x14ac:dyDescent="0.25">
      <c r="C84">
        <v>2022</v>
      </c>
      <c r="D84">
        <v>353.98710360123101</v>
      </c>
      <c r="E84" t="s">
        <v>5</v>
      </c>
    </row>
    <row r="85" spans="3:5" x14ac:dyDescent="0.25">
      <c r="C85">
        <v>2023</v>
      </c>
      <c r="D85">
        <v>302.77951824848981</v>
      </c>
      <c r="E85" t="s">
        <v>5</v>
      </c>
    </row>
    <row r="86" spans="3:5" x14ac:dyDescent="0.25">
      <c r="C86">
        <v>2024</v>
      </c>
      <c r="D86">
        <v>329.74244314284323</v>
      </c>
      <c r="E86" t="s">
        <v>5</v>
      </c>
    </row>
    <row r="87" spans="3:5" x14ac:dyDescent="0.25">
      <c r="C87">
        <v>2014</v>
      </c>
      <c r="D87">
        <v>0</v>
      </c>
      <c r="E87" t="s">
        <v>6</v>
      </c>
    </row>
    <row r="88" spans="3:5" x14ac:dyDescent="0.25">
      <c r="C88">
        <v>2015</v>
      </c>
      <c r="D88">
        <v>0</v>
      </c>
      <c r="E88" t="s">
        <v>6</v>
      </c>
    </row>
    <row r="89" spans="3:5" x14ac:dyDescent="0.25">
      <c r="C89">
        <v>2016</v>
      </c>
      <c r="D89">
        <v>0</v>
      </c>
      <c r="E89" t="s">
        <v>6</v>
      </c>
    </row>
    <row r="90" spans="3:5" x14ac:dyDescent="0.25">
      <c r="C90">
        <v>2017</v>
      </c>
      <c r="D90">
        <v>0</v>
      </c>
      <c r="E90" t="s">
        <v>6</v>
      </c>
    </row>
    <row r="91" spans="3:5" x14ac:dyDescent="0.25">
      <c r="C91">
        <v>2018</v>
      </c>
      <c r="D91">
        <v>0</v>
      </c>
      <c r="E91" t="s">
        <v>6</v>
      </c>
    </row>
    <row r="92" spans="3:5" x14ac:dyDescent="0.25">
      <c r="C92">
        <v>2019</v>
      </c>
      <c r="D92">
        <v>200.69259525240543</v>
      </c>
      <c r="E92" t="s">
        <v>6</v>
      </c>
    </row>
    <row r="93" spans="3:5" x14ac:dyDescent="0.25">
      <c r="C93">
        <v>2020</v>
      </c>
      <c r="D93">
        <v>194.27806448760845</v>
      </c>
      <c r="E93" t="s">
        <v>6</v>
      </c>
    </row>
    <row r="94" spans="3:5" x14ac:dyDescent="0.25">
      <c r="C94">
        <v>2021</v>
      </c>
      <c r="D94">
        <v>172.87044065346134</v>
      </c>
      <c r="E94" t="s">
        <v>6</v>
      </c>
    </row>
    <row r="95" spans="3:5" x14ac:dyDescent="0.25">
      <c r="C95">
        <v>2022</v>
      </c>
      <c r="D95">
        <v>182.96653977075033</v>
      </c>
      <c r="E95" t="s">
        <v>6</v>
      </c>
    </row>
    <row r="96" spans="3:5" x14ac:dyDescent="0.25">
      <c r="C96">
        <v>2023</v>
      </c>
      <c r="D96">
        <v>182.95374173476253</v>
      </c>
      <c r="E96" t="s">
        <v>6</v>
      </c>
    </row>
    <row r="97" spans="3:5" x14ac:dyDescent="0.25">
      <c r="C97">
        <v>2024</v>
      </c>
      <c r="D97">
        <v>183.16704233455928</v>
      </c>
      <c r="E97" t="s">
        <v>6</v>
      </c>
    </row>
    <row r="98" spans="3:5" x14ac:dyDescent="0.25">
      <c r="C98">
        <v>2014</v>
      </c>
      <c r="D98">
        <v>43.409076827696147</v>
      </c>
      <c r="E98" t="s">
        <v>7</v>
      </c>
    </row>
    <row r="99" spans="3:5" x14ac:dyDescent="0.25">
      <c r="C99">
        <v>2015</v>
      </c>
      <c r="D99">
        <v>56.420346818199683</v>
      </c>
      <c r="E99" t="s">
        <v>7</v>
      </c>
    </row>
    <row r="100" spans="3:5" x14ac:dyDescent="0.25">
      <c r="C100">
        <v>2016</v>
      </c>
      <c r="D100">
        <v>47.235715304345177</v>
      </c>
      <c r="E100" t="s">
        <v>7</v>
      </c>
    </row>
    <row r="101" spans="3:5" x14ac:dyDescent="0.25">
      <c r="C101">
        <v>2017</v>
      </c>
      <c r="D101">
        <v>136.41963400893735</v>
      </c>
      <c r="E101" t="s">
        <v>7</v>
      </c>
    </row>
    <row r="102" spans="3:5" x14ac:dyDescent="0.25">
      <c r="C102">
        <v>2018</v>
      </c>
      <c r="D102">
        <v>127.03471070489449</v>
      </c>
      <c r="E102" t="s">
        <v>7</v>
      </c>
    </row>
    <row r="103" spans="3:5" x14ac:dyDescent="0.25">
      <c r="C103">
        <v>2019</v>
      </c>
      <c r="D103">
        <v>167.98202225768557</v>
      </c>
      <c r="E103" t="s">
        <v>7</v>
      </c>
    </row>
    <row r="104" spans="3:5" x14ac:dyDescent="0.25">
      <c r="C104">
        <v>2020</v>
      </c>
      <c r="D104">
        <v>149.18250018688724</v>
      </c>
      <c r="E104" t="s">
        <v>7</v>
      </c>
    </row>
    <row r="105" spans="3:5" x14ac:dyDescent="0.25">
      <c r="C105">
        <v>2021</v>
      </c>
      <c r="D105">
        <v>161.49165650264786</v>
      </c>
      <c r="E105" t="s">
        <v>7</v>
      </c>
    </row>
    <row r="106" spans="3:5" x14ac:dyDescent="0.25">
      <c r="C106">
        <v>2022</v>
      </c>
      <c r="D106">
        <v>157.09802562049344</v>
      </c>
      <c r="E106" t="s">
        <v>7</v>
      </c>
    </row>
    <row r="107" spans="3:5" x14ac:dyDescent="0.25">
      <c r="C107">
        <v>2023</v>
      </c>
      <c r="D107">
        <v>148.52191682227991</v>
      </c>
      <c r="E107" t="s">
        <v>7</v>
      </c>
    </row>
    <row r="108" spans="3:5" x14ac:dyDescent="0.25">
      <c r="C108">
        <v>2024</v>
      </c>
      <c r="D108">
        <v>154.44108731545447</v>
      </c>
      <c r="E108" t="s">
        <v>7</v>
      </c>
    </row>
    <row r="109" spans="3:5" x14ac:dyDescent="0.25">
      <c r="C109">
        <v>2014</v>
      </c>
      <c r="D109">
        <v>0</v>
      </c>
      <c r="E109" t="s">
        <v>8</v>
      </c>
    </row>
    <row r="110" spans="3:5" x14ac:dyDescent="0.25">
      <c r="C110">
        <v>2015</v>
      </c>
      <c r="D110">
        <v>0</v>
      </c>
      <c r="E110" t="s">
        <v>8</v>
      </c>
    </row>
    <row r="111" spans="3:5" x14ac:dyDescent="0.25">
      <c r="C111">
        <v>2016</v>
      </c>
      <c r="D111">
        <v>0</v>
      </c>
      <c r="E111" t="s">
        <v>8</v>
      </c>
    </row>
    <row r="112" spans="3:5" x14ac:dyDescent="0.25">
      <c r="C112">
        <v>2017</v>
      </c>
      <c r="D112">
        <v>0</v>
      </c>
      <c r="E112" t="s">
        <v>8</v>
      </c>
    </row>
    <row r="113" spans="3:5" x14ac:dyDescent="0.25">
      <c r="C113">
        <v>2018</v>
      </c>
      <c r="D113">
        <v>0</v>
      </c>
      <c r="E113" t="s">
        <v>8</v>
      </c>
    </row>
    <row r="114" spans="3:5" x14ac:dyDescent="0.25">
      <c r="C114">
        <v>2019</v>
      </c>
      <c r="D114">
        <v>159.74223275775552</v>
      </c>
      <c r="E114" t="s">
        <v>8</v>
      </c>
    </row>
    <row r="115" spans="3:5" x14ac:dyDescent="0.25">
      <c r="C115">
        <v>2020</v>
      </c>
      <c r="D115">
        <v>155.53086918632042</v>
      </c>
      <c r="E115" t="s">
        <v>8</v>
      </c>
    </row>
    <row r="116" spans="3:5" x14ac:dyDescent="0.25">
      <c r="C116">
        <v>2021</v>
      </c>
      <c r="D116">
        <v>147.61698066750375</v>
      </c>
      <c r="E116" t="s">
        <v>8</v>
      </c>
    </row>
    <row r="117" spans="3:5" x14ac:dyDescent="0.25">
      <c r="C117">
        <v>2022</v>
      </c>
      <c r="D117">
        <v>126.50638311835509</v>
      </c>
      <c r="E117" t="s">
        <v>8</v>
      </c>
    </row>
    <row r="118" spans="3:5" x14ac:dyDescent="0.25">
      <c r="C118">
        <v>2023</v>
      </c>
      <c r="D118">
        <v>142.18523177821663</v>
      </c>
      <c r="E118" t="s">
        <v>8</v>
      </c>
    </row>
    <row r="119" spans="3:5" x14ac:dyDescent="0.25">
      <c r="C119">
        <v>2024</v>
      </c>
      <c r="D119">
        <v>142.51618372882058</v>
      </c>
      <c r="E119" t="s">
        <v>8</v>
      </c>
    </row>
    <row r="120" spans="3:5" x14ac:dyDescent="0.25">
      <c r="C120">
        <v>2014</v>
      </c>
      <c r="D120">
        <v>6.7466396998118032</v>
      </c>
      <c r="E120" t="s">
        <v>9</v>
      </c>
    </row>
    <row r="121" spans="3:5" x14ac:dyDescent="0.25">
      <c r="C121">
        <v>2015</v>
      </c>
      <c r="D121">
        <v>5.1592898325264791</v>
      </c>
      <c r="E121" t="s">
        <v>9</v>
      </c>
    </row>
    <row r="122" spans="3:5" x14ac:dyDescent="0.25">
      <c r="C122">
        <v>2016</v>
      </c>
      <c r="D122">
        <v>4.9768953465436416</v>
      </c>
      <c r="E122" t="s">
        <v>9</v>
      </c>
    </row>
    <row r="123" spans="3:5" x14ac:dyDescent="0.25">
      <c r="C123">
        <v>2017</v>
      </c>
      <c r="D123">
        <v>19.763193071509821</v>
      </c>
      <c r="E123" t="s">
        <v>9</v>
      </c>
    </row>
    <row r="124" spans="3:5" x14ac:dyDescent="0.25">
      <c r="C124">
        <v>2018</v>
      </c>
      <c r="D124">
        <v>18.100820009667068</v>
      </c>
      <c r="E124" t="s">
        <v>9</v>
      </c>
    </row>
    <row r="125" spans="3:5" x14ac:dyDescent="0.25">
      <c r="C125">
        <v>2019</v>
      </c>
      <c r="D125">
        <v>9.5913187851431054</v>
      </c>
      <c r="E125" t="s">
        <v>9</v>
      </c>
    </row>
    <row r="126" spans="3:5" x14ac:dyDescent="0.25">
      <c r="C126">
        <v>2020</v>
      </c>
      <c r="D126">
        <v>11.923900737211062</v>
      </c>
      <c r="E126" t="s">
        <v>9</v>
      </c>
    </row>
    <row r="127" spans="3:5" x14ac:dyDescent="0.25">
      <c r="C127">
        <v>2021</v>
      </c>
      <c r="D127">
        <v>22.192202224192819</v>
      </c>
      <c r="E127" t="s">
        <v>9</v>
      </c>
    </row>
    <row r="128" spans="3:5" x14ac:dyDescent="0.25">
      <c r="C128">
        <v>2022</v>
      </c>
      <c r="D128">
        <v>14.432220067021406</v>
      </c>
      <c r="E128" t="s">
        <v>9</v>
      </c>
    </row>
    <row r="129" spans="3:5" x14ac:dyDescent="0.25">
      <c r="C129">
        <v>2023</v>
      </c>
      <c r="D129">
        <v>22.862144146548538</v>
      </c>
      <c r="E129" t="s">
        <v>9</v>
      </c>
    </row>
    <row r="130" spans="3:5" x14ac:dyDescent="0.25">
      <c r="C130">
        <v>2024</v>
      </c>
      <c r="D130">
        <v>24.467402819623704</v>
      </c>
      <c r="E130" t="s">
        <v>9</v>
      </c>
    </row>
    <row r="131" spans="3:5" x14ac:dyDescent="0.25">
      <c r="C131">
        <v>2014</v>
      </c>
      <c r="D131">
        <v>0</v>
      </c>
      <c r="E131" t="s">
        <v>10</v>
      </c>
    </row>
    <row r="132" spans="3:5" x14ac:dyDescent="0.25">
      <c r="C132">
        <v>2015</v>
      </c>
      <c r="D132">
        <v>67.081709542105173</v>
      </c>
      <c r="E132" t="s">
        <v>10</v>
      </c>
    </row>
    <row r="133" spans="3:5" x14ac:dyDescent="0.25">
      <c r="C133">
        <v>2016</v>
      </c>
      <c r="D133">
        <v>110.08280540242902</v>
      </c>
      <c r="E133" t="s">
        <v>10</v>
      </c>
    </row>
    <row r="134" spans="3:5" x14ac:dyDescent="0.25">
      <c r="C134">
        <v>2017</v>
      </c>
      <c r="D134">
        <v>11.634578170732116</v>
      </c>
      <c r="E134" t="s">
        <v>10</v>
      </c>
    </row>
    <row r="135" spans="3:5" x14ac:dyDescent="0.25">
      <c r="C135">
        <v>2018</v>
      </c>
      <c r="D135">
        <v>27.147349065041603</v>
      </c>
      <c r="E135" t="s">
        <v>10</v>
      </c>
    </row>
    <row r="136" spans="3:5" x14ac:dyDescent="0.25">
      <c r="C136">
        <v>2019</v>
      </c>
      <c r="D136">
        <v>10.083301081301167</v>
      </c>
      <c r="E136" t="s">
        <v>10</v>
      </c>
    </row>
    <row r="137" spans="3:5" x14ac:dyDescent="0.25">
      <c r="C137">
        <v>2020</v>
      </c>
      <c r="D137">
        <v>8.5320239918702168</v>
      </c>
      <c r="E137" t="s">
        <v>10</v>
      </c>
    </row>
    <row r="138" spans="3:5" x14ac:dyDescent="0.25">
      <c r="C138">
        <v>2021</v>
      </c>
      <c r="D138">
        <v>7.3685661747970066</v>
      </c>
      <c r="E138" t="s">
        <v>10</v>
      </c>
    </row>
    <row r="139" spans="3:5" x14ac:dyDescent="0.25">
      <c r="C139">
        <v>2022</v>
      </c>
      <c r="D139">
        <v>8.14420471951248</v>
      </c>
      <c r="E139" t="s">
        <v>10</v>
      </c>
    </row>
    <row r="140" spans="3:5" x14ac:dyDescent="0.25">
      <c r="C140">
        <v>2023</v>
      </c>
      <c r="D140">
        <v>96.954818089434298</v>
      </c>
      <c r="E140" t="s">
        <v>10</v>
      </c>
    </row>
    <row r="141" spans="3:5" x14ac:dyDescent="0.25">
      <c r="C141">
        <v>2024</v>
      </c>
      <c r="D141">
        <v>46.538312682928463</v>
      </c>
      <c r="E141" t="s">
        <v>10</v>
      </c>
    </row>
    <row r="142" spans="3:5" x14ac:dyDescent="0.25">
      <c r="C142">
        <v>2014</v>
      </c>
      <c r="D142">
        <v>13.721568838507743</v>
      </c>
      <c r="E142" t="s">
        <v>11</v>
      </c>
    </row>
    <row r="143" spans="3:5" x14ac:dyDescent="0.25">
      <c r="C143">
        <v>2015</v>
      </c>
      <c r="D143">
        <v>20.585000832416885</v>
      </c>
      <c r="E143" t="s">
        <v>11</v>
      </c>
    </row>
    <row r="144" spans="3:5" x14ac:dyDescent="0.25">
      <c r="C144">
        <v>2016</v>
      </c>
      <c r="D144">
        <v>19.808760098130445</v>
      </c>
      <c r="E144" t="s">
        <v>11</v>
      </c>
    </row>
    <row r="145" spans="3:5" x14ac:dyDescent="0.25">
      <c r="C145">
        <v>2017</v>
      </c>
      <c r="D145">
        <v>43.799500592790523</v>
      </c>
      <c r="E145" t="s">
        <v>11</v>
      </c>
    </row>
    <row r="146" spans="3:5" x14ac:dyDescent="0.25">
      <c r="C146">
        <v>2018</v>
      </c>
      <c r="D146">
        <v>33.882463727932624</v>
      </c>
      <c r="E146" t="s">
        <v>11</v>
      </c>
    </row>
    <row r="147" spans="3:5" x14ac:dyDescent="0.25">
      <c r="C147">
        <v>2019</v>
      </c>
      <c r="D147">
        <v>28.03057017227361</v>
      </c>
      <c r="E147" t="s">
        <v>11</v>
      </c>
    </row>
    <row r="148" spans="3:5" x14ac:dyDescent="0.25">
      <c r="C148">
        <v>2020</v>
      </c>
      <c r="D148">
        <v>42.408642475867914</v>
      </c>
      <c r="E148" t="s">
        <v>11</v>
      </c>
    </row>
    <row r="149" spans="3:5" x14ac:dyDescent="0.25">
      <c r="C149">
        <v>2021</v>
      </c>
      <c r="D149">
        <v>37.0571310591409</v>
      </c>
      <c r="E149" t="s">
        <v>11</v>
      </c>
    </row>
    <row r="150" spans="3:5" x14ac:dyDescent="0.25">
      <c r="C150">
        <v>2022</v>
      </c>
      <c r="D150">
        <v>24.36747108535776</v>
      </c>
      <c r="E150" t="s">
        <v>11</v>
      </c>
    </row>
    <row r="151" spans="3:5" x14ac:dyDescent="0.25">
      <c r="C151">
        <v>2023</v>
      </c>
      <c r="D151">
        <v>25.960528824298699</v>
      </c>
      <c r="E151" t="s">
        <v>11</v>
      </c>
    </row>
    <row r="152" spans="3:5" x14ac:dyDescent="0.25">
      <c r="C152">
        <v>2024</v>
      </c>
      <c r="D152">
        <v>30.499915604977403</v>
      </c>
      <c r="E152" t="s">
        <v>11</v>
      </c>
    </row>
    <row r="153" spans="3:5" x14ac:dyDescent="0.25">
      <c r="C153">
        <v>2014</v>
      </c>
      <c r="D153">
        <v>1.4328404026732089</v>
      </c>
      <c r="E153" t="s">
        <v>12</v>
      </c>
    </row>
    <row r="154" spans="3:5" x14ac:dyDescent="0.25">
      <c r="C154">
        <v>2015</v>
      </c>
      <c r="D154">
        <v>0.59793416800609089</v>
      </c>
      <c r="E154" t="s">
        <v>12</v>
      </c>
    </row>
    <row r="155" spans="3:5" x14ac:dyDescent="0.25">
      <c r="C155">
        <v>2016</v>
      </c>
      <c r="D155">
        <v>2.4059293799170973</v>
      </c>
      <c r="E155" t="s">
        <v>12</v>
      </c>
    </row>
    <row r="156" spans="3:5" x14ac:dyDescent="0.25">
      <c r="C156">
        <v>2017</v>
      </c>
      <c r="D156">
        <v>6.6463353552574631</v>
      </c>
      <c r="E156" t="s">
        <v>12</v>
      </c>
    </row>
    <row r="157" spans="3:5" x14ac:dyDescent="0.25">
      <c r="C157">
        <v>2018</v>
      </c>
      <c r="D157">
        <v>10.744459462723034</v>
      </c>
      <c r="E157" t="s">
        <v>12</v>
      </c>
    </row>
    <row r="158" spans="3:5" x14ac:dyDescent="0.25">
      <c r="C158">
        <v>2019</v>
      </c>
      <c r="D158">
        <v>12.60109781548881</v>
      </c>
      <c r="E158" t="s">
        <v>12</v>
      </c>
    </row>
    <row r="159" spans="3:5" x14ac:dyDescent="0.25">
      <c r="C159">
        <v>2020</v>
      </c>
      <c r="D159">
        <v>9.2247686876824577</v>
      </c>
      <c r="E159" t="s">
        <v>12</v>
      </c>
    </row>
    <row r="160" spans="3:5" x14ac:dyDescent="0.25">
      <c r="C160">
        <v>2021</v>
      </c>
      <c r="D160">
        <v>9.7333792945390893</v>
      </c>
      <c r="E160" t="s">
        <v>12</v>
      </c>
    </row>
    <row r="161" spans="3:5" x14ac:dyDescent="0.25">
      <c r="C161">
        <v>2022</v>
      </c>
      <c r="D161">
        <v>14.992376932262577</v>
      </c>
      <c r="E161" t="s">
        <v>12</v>
      </c>
    </row>
    <row r="162" spans="3:5" x14ac:dyDescent="0.25">
      <c r="C162">
        <v>2023</v>
      </c>
      <c r="D162">
        <v>15.786919682038343</v>
      </c>
      <c r="E162" t="s">
        <v>12</v>
      </c>
    </row>
    <row r="163" spans="3:5" x14ac:dyDescent="0.25">
      <c r="C163">
        <v>2024</v>
      </c>
      <c r="D163">
        <v>15.491497170832858</v>
      </c>
      <c r="E163" t="s">
        <v>12</v>
      </c>
    </row>
    <row r="164" spans="3:5" x14ac:dyDescent="0.25">
      <c r="C164">
        <v>2014</v>
      </c>
      <c r="D164">
        <v>4.1739730381754332E-2</v>
      </c>
      <c r="E164" t="s">
        <v>13</v>
      </c>
    </row>
    <row r="165" spans="3:5" x14ac:dyDescent="0.25">
      <c r="C165">
        <v>2015</v>
      </c>
      <c r="D165">
        <v>0</v>
      </c>
      <c r="E165" t="s">
        <v>13</v>
      </c>
    </row>
    <row r="166" spans="3:5" x14ac:dyDescent="0.25">
      <c r="C166">
        <v>2016</v>
      </c>
      <c r="D166">
        <v>0</v>
      </c>
      <c r="E166" t="s">
        <v>13</v>
      </c>
    </row>
    <row r="167" spans="3:5" x14ac:dyDescent="0.25">
      <c r="C167">
        <v>2017</v>
      </c>
      <c r="D167">
        <v>0</v>
      </c>
      <c r="E167" t="s">
        <v>13</v>
      </c>
    </row>
    <row r="168" spans="3:5" x14ac:dyDescent="0.25">
      <c r="C168">
        <v>2018</v>
      </c>
      <c r="D168">
        <v>1.5512770894309487</v>
      </c>
      <c r="E168" t="s">
        <v>13</v>
      </c>
    </row>
    <row r="169" spans="3:5" x14ac:dyDescent="0.25">
      <c r="C169">
        <v>2019</v>
      </c>
      <c r="D169">
        <v>0</v>
      </c>
      <c r="E169" t="s">
        <v>13</v>
      </c>
    </row>
    <row r="170" spans="3:5" x14ac:dyDescent="0.25">
      <c r="C170">
        <v>2020</v>
      </c>
      <c r="D170">
        <v>1.5512770894309487</v>
      </c>
      <c r="E170" t="s">
        <v>13</v>
      </c>
    </row>
    <row r="171" spans="3:5" x14ac:dyDescent="0.25">
      <c r="C171">
        <v>2021</v>
      </c>
      <c r="D171">
        <v>2.7147349065041602</v>
      </c>
      <c r="E171" t="s">
        <v>13</v>
      </c>
    </row>
    <row r="172" spans="3:5" x14ac:dyDescent="0.25">
      <c r="C172">
        <v>2022</v>
      </c>
      <c r="D172">
        <v>10.083301081301167</v>
      </c>
      <c r="E172" t="s">
        <v>13</v>
      </c>
    </row>
    <row r="173" spans="3:5" x14ac:dyDescent="0.25">
      <c r="C173">
        <v>2023</v>
      </c>
      <c r="D173">
        <v>28.310806882114814</v>
      </c>
      <c r="E173" t="s">
        <v>13</v>
      </c>
    </row>
    <row r="174" spans="3:5" x14ac:dyDescent="0.25">
      <c r="C174">
        <v>2024</v>
      </c>
      <c r="D174">
        <v>38.781927235773722</v>
      </c>
      <c r="E174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D2A53-670A-4241-859A-DCF4DCDF124C}">
  <dimension ref="A1:AF1331"/>
  <sheetViews>
    <sheetView workbookViewId="0">
      <selection activeCell="B1" sqref="B1"/>
    </sheetView>
  </sheetViews>
  <sheetFormatPr defaultRowHeight="15" x14ac:dyDescent="0.25"/>
  <cols>
    <col min="10" max="10" width="12" bestFit="1" customWidth="1"/>
    <col min="23" max="23" width="9.140625" customWidth="1"/>
    <col min="24" max="24" width="13.42578125" bestFit="1" customWidth="1"/>
    <col min="25" max="25" width="16.85546875" bestFit="1" customWidth="1"/>
    <col min="26" max="28" width="12" bestFit="1" customWidth="1"/>
    <col min="29" max="30" width="6" bestFit="1" customWidth="1"/>
    <col min="31" max="31" width="13.42578125" bestFit="1" customWidth="1"/>
    <col min="32" max="32" width="13.5703125" bestFit="1" customWidth="1"/>
    <col min="33" max="35" width="6" bestFit="1" customWidth="1"/>
    <col min="36" max="36" width="7" bestFit="1" customWidth="1"/>
    <col min="37" max="37" width="6" bestFit="1" customWidth="1"/>
    <col min="38" max="38" width="5" bestFit="1" customWidth="1"/>
    <col min="39" max="41" width="6" bestFit="1" customWidth="1"/>
    <col min="42" max="42" width="2" bestFit="1" customWidth="1"/>
    <col min="43" max="48" width="6" bestFit="1" customWidth="1"/>
    <col min="49" max="49" width="2" bestFit="1" customWidth="1"/>
    <col min="50" max="50" width="6" bestFit="1" customWidth="1"/>
    <col min="51" max="51" width="4" bestFit="1" customWidth="1"/>
    <col min="52" max="52" width="6" bestFit="1" customWidth="1"/>
    <col min="53" max="53" width="2" bestFit="1" customWidth="1"/>
    <col min="54" max="55" width="6" bestFit="1" customWidth="1"/>
    <col min="56" max="56" width="2" bestFit="1" customWidth="1"/>
    <col min="57" max="63" width="6" bestFit="1" customWidth="1"/>
    <col min="64" max="64" width="2" bestFit="1" customWidth="1"/>
    <col min="65" max="65" width="8" bestFit="1" customWidth="1"/>
    <col min="66" max="66" width="6" bestFit="1" customWidth="1"/>
    <col min="67" max="67" width="4" bestFit="1" customWidth="1"/>
    <col min="68" max="68" width="6" bestFit="1" customWidth="1"/>
    <col min="69" max="69" width="2" bestFit="1" customWidth="1"/>
    <col min="70" max="70" width="6" bestFit="1" customWidth="1"/>
    <col min="71" max="71" width="2" bestFit="1" customWidth="1"/>
    <col min="72" max="72" width="4" bestFit="1" customWidth="1"/>
    <col min="73" max="73" width="6" bestFit="1" customWidth="1"/>
    <col min="74" max="74" width="5" bestFit="1" customWidth="1"/>
    <col min="75" max="75" width="6" bestFit="1" customWidth="1"/>
    <col min="76" max="77" width="7" bestFit="1" customWidth="1"/>
    <col min="78" max="78" width="8" bestFit="1" customWidth="1"/>
    <col min="79" max="79" width="3" bestFit="1" customWidth="1"/>
    <col min="80" max="80" width="7" bestFit="1" customWidth="1"/>
    <col min="81" max="81" width="9" bestFit="1" customWidth="1"/>
    <col min="82" max="83" width="3" bestFit="1" customWidth="1"/>
    <col min="84" max="84" width="8" bestFit="1" customWidth="1"/>
    <col min="85" max="85" width="7" bestFit="1" customWidth="1"/>
    <col min="86" max="86" width="5" bestFit="1" customWidth="1"/>
    <col min="87" max="87" width="8" bestFit="1" customWidth="1"/>
    <col min="88" max="88" width="7" bestFit="1" customWidth="1"/>
    <col min="89" max="89" width="3" bestFit="1" customWidth="1"/>
    <col min="90" max="91" width="7" bestFit="1" customWidth="1"/>
    <col min="92" max="92" width="8" bestFit="1" customWidth="1"/>
    <col min="93" max="93" width="3" bestFit="1" customWidth="1"/>
    <col min="94" max="95" width="7" bestFit="1" customWidth="1"/>
    <col min="96" max="96" width="6" bestFit="1" customWidth="1"/>
    <col min="97" max="97" width="9" bestFit="1" customWidth="1"/>
    <col min="98" max="98" width="5" bestFit="1" customWidth="1"/>
    <col min="99" max="99" width="9" bestFit="1" customWidth="1"/>
    <col min="100" max="100" width="7" bestFit="1" customWidth="1"/>
    <col min="101" max="101" width="3" bestFit="1" customWidth="1"/>
    <col min="102" max="102" width="6" bestFit="1" customWidth="1"/>
    <col min="103" max="103" width="5" bestFit="1" customWidth="1"/>
    <col min="104" max="104" width="9" bestFit="1" customWidth="1"/>
    <col min="105" max="105" width="3" bestFit="1" customWidth="1"/>
    <col min="106" max="106" width="7" bestFit="1" customWidth="1"/>
    <col min="107" max="107" width="8" bestFit="1" customWidth="1"/>
    <col min="108" max="108" width="3" bestFit="1" customWidth="1"/>
    <col min="109" max="109" width="7" bestFit="1" customWidth="1"/>
    <col min="110" max="110" width="3" bestFit="1" customWidth="1"/>
    <col min="111" max="111" width="7" bestFit="1" customWidth="1"/>
    <col min="112" max="112" width="10" bestFit="1" customWidth="1"/>
    <col min="113" max="113" width="9" bestFit="1" customWidth="1"/>
    <col min="114" max="114" width="7" bestFit="1" customWidth="1"/>
    <col min="115" max="115" width="9" bestFit="1" customWidth="1"/>
    <col min="116" max="117" width="3" bestFit="1" customWidth="1"/>
    <col min="118" max="118" width="7" bestFit="1" customWidth="1"/>
    <col min="119" max="119" width="9" bestFit="1" customWidth="1"/>
    <col min="120" max="120" width="3" bestFit="1" customWidth="1"/>
    <col min="121" max="121" width="7" bestFit="1" customWidth="1"/>
    <col min="122" max="122" width="3" bestFit="1" customWidth="1"/>
    <col min="123" max="123" width="8" bestFit="1" customWidth="1"/>
    <col min="124" max="124" width="7" bestFit="1" customWidth="1"/>
    <col min="125" max="125" width="6" bestFit="1" customWidth="1"/>
    <col min="126" max="126" width="5" bestFit="1" customWidth="1"/>
    <col min="127" max="127" width="7" bestFit="1" customWidth="1"/>
    <col min="128" max="130" width="10" bestFit="1" customWidth="1"/>
    <col min="131" max="131" width="7" bestFit="1" customWidth="1"/>
    <col min="132" max="132" width="3" bestFit="1" customWidth="1"/>
    <col min="133" max="133" width="10" bestFit="1" customWidth="1"/>
    <col min="134" max="134" width="3" bestFit="1" customWidth="1"/>
    <col min="135" max="135" width="9" bestFit="1" customWidth="1"/>
    <col min="136" max="136" width="3" bestFit="1" customWidth="1"/>
    <col min="137" max="137" width="9" bestFit="1" customWidth="1"/>
    <col min="138" max="138" width="7" bestFit="1" customWidth="1"/>
    <col min="139" max="139" width="3" bestFit="1" customWidth="1"/>
    <col min="140" max="140" width="9" bestFit="1" customWidth="1"/>
    <col min="141" max="143" width="7" bestFit="1" customWidth="1"/>
    <col min="144" max="144" width="9" bestFit="1" customWidth="1"/>
    <col min="145" max="146" width="7" bestFit="1" customWidth="1"/>
    <col min="147" max="147" width="3" bestFit="1" customWidth="1"/>
    <col min="148" max="150" width="7" bestFit="1" customWidth="1"/>
    <col min="151" max="151" width="6" bestFit="1" customWidth="1"/>
    <col min="152" max="152" width="9" bestFit="1" customWidth="1"/>
    <col min="153" max="153" width="7" bestFit="1" customWidth="1"/>
    <col min="154" max="155" width="5" bestFit="1" customWidth="1"/>
    <col min="156" max="156" width="9" bestFit="1" customWidth="1"/>
    <col min="157" max="157" width="8" bestFit="1" customWidth="1"/>
    <col min="158" max="158" width="7" bestFit="1" customWidth="1"/>
    <col min="159" max="159" width="3" bestFit="1" customWidth="1"/>
    <col min="160" max="160" width="7" bestFit="1" customWidth="1"/>
    <col min="161" max="161" width="10" bestFit="1" customWidth="1"/>
    <col min="162" max="162" width="3" bestFit="1" customWidth="1"/>
    <col min="163" max="163" width="10" bestFit="1" customWidth="1"/>
    <col min="164" max="165" width="3" bestFit="1" customWidth="1"/>
    <col min="166" max="166" width="10" bestFit="1" customWidth="1"/>
    <col min="167" max="167" width="3" bestFit="1" customWidth="1"/>
    <col min="168" max="171" width="7" bestFit="1" customWidth="1"/>
    <col min="172" max="172" width="9" bestFit="1" customWidth="1"/>
    <col min="173" max="173" width="3" bestFit="1" customWidth="1"/>
    <col min="174" max="174" width="6" bestFit="1" customWidth="1"/>
    <col min="175" max="176" width="3" bestFit="1" customWidth="1"/>
    <col min="177" max="178" width="7" bestFit="1" customWidth="1"/>
    <col min="179" max="179" width="3" bestFit="1" customWidth="1"/>
    <col min="180" max="180" width="9" bestFit="1" customWidth="1"/>
    <col min="181" max="181" width="3" bestFit="1" customWidth="1"/>
    <col min="182" max="182" width="10" bestFit="1" customWidth="1"/>
    <col min="183" max="183" width="3" bestFit="1" customWidth="1"/>
    <col min="184" max="184" width="9" bestFit="1" customWidth="1"/>
    <col min="185" max="187" width="3" bestFit="1" customWidth="1"/>
    <col min="188" max="189" width="7" bestFit="1" customWidth="1"/>
    <col min="190" max="190" width="8" bestFit="1" customWidth="1"/>
    <col min="191" max="191" width="9" bestFit="1" customWidth="1"/>
    <col min="192" max="192" width="3" bestFit="1" customWidth="1"/>
    <col min="193" max="193" width="7" bestFit="1" customWidth="1"/>
    <col min="194" max="194" width="3" bestFit="1" customWidth="1"/>
    <col min="195" max="195" width="9" bestFit="1" customWidth="1"/>
    <col min="196" max="196" width="3" bestFit="1" customWidth="1"/>
    <col min="197" max="197" width="7" bestFit="1" customWidth="1"/>
    <col min="198" max="198" width="3" bestFit="1" customWidth="1"/>
    <col min="199" max="199" width="10" bestFit="1" customWidth="1"/>
    <col min="200" max="201" width="3" bestFit="1" customWidth="1"/>
    <col min="202" max="202" width="7" bestFit="1" customWidth="1"/>
    <col min="203" max="204" width="3" bestFit="1" customWidth="1"/>
    <col min="205" max="205" width="5" bestFit="1" customWidth="1"/>
    <col min="206" max="207" width="3" bestFit="1" customWidth="1"/>
    <col min="208" max="208" width="4" bestFit="1" customWidth="1"/>
    <col min="209" max="209" width="8" bestFit="1" customWidth="1"/>
    <col min="210" max="210" width="10" bestFit="1" customWidth="1"/>
    <col min="211" max="211" width="8" bestFit="1" customWidth="1"/>
    <col min="212" max="212" width="10" bestFit="1" customWidth="1"/>
    <col min="213" max="213" width="4" bestFit="1" customWidth="1"/>
    <col min="214" max="214" width="8" bestFit="1" customWidth="1"/>
    <col min="215" max="215" width="11" bestFit="1" customWidth="1"/>
    <col min="216" max="217" width="8" bestFit="1" customWidth="1"/>
    <col min="218" max="218" width="4" bestFit="1" customWidth="1"/>
    <col min="219" max="219" width="8" bestFit="1" customWidth="1"/>
    <col min="220" max="220" width="6" bestFit="1" customWidth="1"/>
    <col min="221" max="222" width="4" bestFit="1" customWidth="1"/>
    <col min="223" max="223" width="10" bestFit="1" customWidth="1"/>
    <col min="224" max="224" width="4" bestFit="1" customWidth="1"/>
    <col min="225" max="225" width="6" bestFit="1" customWidth="1"/>
    <col min="226" max="226" width="4" bestFit="1" customWidth="1"/>
    <col min="227" max="227" width="8" bestFit="1" customWidth="1"/>
    <col min="228" max="228" width="10" bestFit="1" customWidth="1"/>
    <col min="229" max="229" width="4" bestFit="1" customWidth="1"/>
    <col min="230" max="232" width="8" bestFit="1" customWidth="1"/>
    <col min="233" max="234" width="4" bestFit="1" customWidth="1"/>
    <col min="235" max="235" width="7" bestFit="1" customWidth="1"/>
    <col min="236" max="236" width="4" bestFit="1" customWidth="1"/>
    <col min="237" max="239" width="10" bestFit="1" customWidth="1"/>
    <col min="240" max="240" width="4" bestFit="1" customWidth="1"/>
    <col min="241" max="241" width="10" bestFit="1" customWidth="1"/>
    <col min="242" max="242" width="8" bestFit="1" customWidth="1"/>
    <col min="243" max="244" width="4" bestFit="1" customWidth="1"/>
    <col min="245" max="245" width="10" bestFit="1" customWidth="1"/>
    <col min="246" max="246" width="8" bestFit="1" customWidth="1"/>
    <col min="247" max="247" width="4" bestFit="1" customWidth="1"/>
    <col min="248" max="248" width="8" bestFit="1" customWidth="1"/>
    <col min="249" max="249" width="7" bestFit="1" customWidth="1"/>
    <col min="250" max="250" width="8" bestFit="1" customWidth="1"/>
    <col min="251" max="251" width="4" bestFit="1" customWidth="1"/>
    <col min="252" max="253" width="8" bestFit="1" customWidth="1"/>
    <col min="254" max="254" width="4" bestFit="1" customWidth="1"/>
    <col min="255" max="255" width="10" bestFit="1" customWidth="1"/>
    <col min="256" max="256" width="8" bestFit="1" customWidth="1"/>
    <col min="257" max="260" width="4" bestFit="1" customWidth="1"/>
    <col min="261" max="261" width="8" bestFit="1" customWidth="1"/>
    <col min="262" max="263" width="10" bestFit="1" customWidth="1"/>
    <col min="264" max="266" width="4" bestFit="1" customWidth="1"/>
    <col min="267" max="267" width="10" bestFit="1" customWidth="1"/>
    <col min="268" max="271" width="4" bestFit="1" customWidth="1"/>
    <col min="272" max="272" width="8" bestFit="1" customWidth="1"/>
    <col min="273" max="273" width="10" bestFit="1" customWidth="1"/>
    <col min="274" max="274" width="4" bestFit="1" customWidth="1"/>
    <col min="275" max="275" width="6" bestFit="1" customWidth="1"/>
    <col min="276" max="276" width="4" bestFit="1" customWidth="1"/>
    <col min="277" max="277" width="7" bestFit="1" customWidth="1"/>
    <col min="278" max="278" width="10" bestFit="1" customWidth="1"/>
    <col min="279" max="279" width="4" bestFit="1" customWidth="1"/>
    <col min="280" max="280" width="8" bestFit="1" customWidth="1"/>
    <col min="281" max="281" width="4" bestFit="1" customWidth="1"/>
    <col min="282" max="284" width="10" bestFit="1" customWidth="1"/>
    <col min="285" max="285" width="4" bestFit="1" customWidth="1"/>
    <col min="286" max="286" width="10" bestFit="1" customWidth="1"/>
    <col min="287" max="287" width="8" bestFit="1" customWidth="1"/>
    <col min="288" max="288" width="4" bestFit="1" customWidth="1"/>
    <col min="289" max="290" width="10" bestFit="1" customWidth="1"/>
    <col min="291" max="291" width="4" bestFit="1" customWidth="1"/>
    <col min="292" max="292" width="10" bestFit="1" customWidth="1"/>
    <col min="293" max="294" width="4" bestFit="1" customWidth="1"/>
    <col min="295" max="297" width="10" bestFit="1" customWidth="1"/>
    <col min="298" max="298" width="4" bestFit="1" customWidth="1"/>
    <col min="299" max="299" width="8" bestFit="1" customWidth="1"/>
    <col min="300" max="300" width="4" bestFit="1" customWidth="1"/>
    <col min="301" max="301" width="8" bestFit="1" customWidth="1"/>
    <col min="302" max="306" width="4" bestFit="1" customWidth="1"/>
    <col min="307" max="307" width="8" bestFit="1" customWidth="1"/>
    <col min="308" max="308" width="10" bestFit="1" customWidth="1"/>
    <col min="309" max="309" width="11" bestFit="1" customWidth="1"/>
    <col min="310" max="311" width="10" bestFit="1" customWidth="1"/>
    <col min="312" max="312" width="4" bestFit="1" customWidth="1"/>
    <col min="313" max="313" width="10" bestFit="1" customWidth="1"/>
    <col min="314" max="314" width="4" bestFit="1" customWidth="1"/>
    <col min="315" max="315" width="8" bestFit="1" customWidth="1"/>
    <col min="316" max="316" width="10" bestFit="1" customWidth="1"/>
    <col min="317" max="317" width="4" bestFit="1" customWidth="1"/>
    <col min="318" max="318" width="10" bestFit="1" customWidth="1"/>
    <col min="319" max="319" width="4" bestFit="1" customWidth="1"/>
    <col min="320" max="320" width="6" bestFit="1" customWidth="1"/>
    <col min="321" max="321" width="10" bestFit="1" customWidth="1"/>
    <col min="322" max="324" width="4" bestFit="1" customWidth="1"/>
    <col min="325" max="325" width="11" bestFit="1" customWidth="1"/>
    <col min="326" max="328" width="4" bestFit="1" customWidth="1"/>
    <col min="329" max="329" width="10" bestFit="1" customWidth="1"/>
    <col min="330" max="331" width="6" bestFit="1" customWidth="1"/>
    <col min="332" max="333" width="4" bestFit="1" customWidth="1"/>
    <col min="334" max="334" width="10" bestFit="1" customWidth="1"/>
    <col min="335" max="335" width="9" bestFit="1" customWidth="1"/>
    <col min="336" max="337" width="4" bestFit="1" customWidth="1"/>
    <col min="338" max="338" width="10" bestFit="1" customWidth="1"/>
    <col min="339" max="339" width="8" bestFit="1" customWidth="1"/>
    <col min="340" max="340" width="7" bestFit="1" customWidth="1"/>
    <col min="341" max="341" width="9" bestFit="1" customWidth="1"/>
    <col min="342" max="342" width="7" bestFit="1" customWidth="1"/>
    <col min="343" max="343" width="8" bestFit="1" customWidth="1"/>
    <col min="344" max="344" width="10" bestFit="1" customWidth="1"/>
    <col min="345" max="346" width="4" bestFit="1" customWidth="1"/>
    <col min="347" max="347" width="8" bestFit="1" customWidth="1"/>
    <col min="348" max="348" width="4" bestFit="1" customWidth="1"/>
    <col min="349" max="350" width="10" bestFit="1" customWidth="1"/>
    <col min="351" max="351" width="7" bestFit="1" customWidth="1"/>
    <col min="352" max="352" width="9" bestFit="1" customWidth="1"/>
    <col min="353" max="353" width="4" bestFit="1" customWidth="1"/>
    <col min="354" max="354" width="10" bestFit="1" customWidth="1"/>
    <col min="355" max="355" width="6" bestFit="1" customWidth="1"/>
    <col min="356" max="356" width="4" bestFit="1" customWidth="1"/>
    <col min="357" max="357" width="7" bestFit="1" customWidth="1"/>
    <col min="358" max="358" width="9" bestFit="1" customWidth="1"/>
    <col min="359" max="359" width="6" bestFit="1" customWidth="1"/>
    <col min="360" max="361" width="4" bestFit="1" customWidth="1"/>
    <col min="362" max="367" width="8" bestFit="1" customWidth="1"/>
    <col min="368" max="368" width="7" bestFit="1" customWidth="1"/>
    <col min="369" max="369" width="8" bestFit="1" customWidth="1"/>
    <col min="370" max="371" width="10" bestFit="1" customWidth="1"/>
    <col min="372" max="372" width="4" bestFit="1" customWidth="1"/>
    <col min="373" max="373" width="8" bestFit="1" customWidth="1"/>
    <col min="374" max="374" width="4" bestFit="1" customWidth="1"/>
    <col min="375" max="375" width="10" bestFit="1" customWidth="1"/>
    <col min="376" max="376" width="7" bestFit="1" customWidth="1"/>
    <col min="377" max="377" width="4" bestFit="1" customWidth="1"/>
    <col min="378" max="378" width="10" bestFit="1" customWidth="1"/>
    <col min="379" max="379" width="8" bestFit="1" customWidth="1"/>
    <col min="380" max="380" width="11" bestFit="1" customWidth="1"/>
    <col min="381" max="381" width="4" bestFit="1" customWidth="1"/>
    <col min="382" max="382" width="7" bestFit="1" customWidth="1"/>
    <col min="383" max="383" width="8" bestFit="1" customWidth="1"/>
    <col min="384" max="385" width="6" bestFit="1" customWidth="1"/>
    <col min="386" max="386" width="4" bestFit="1" customWidth="1"/>
    <col min="387" max="387" width="11" bestFit="1" customWidth="1"/>
    <col min="388" max="391" width="4" bestFit="1" customWidth="1"/>
    <col min="392" max="392" width="7" bestFit="1" customWidth="1"/>
    <col min="393" max="393" width="10" bestFit="1" customWidth="1"/>
    <col min="394" max="394" width="4" bestFit="1" customWidth="1"/>
    <col min="395" max="395" width="10" bestFit="1" customWidth="1"/>
    <col min="396" max="397" width="4" bestFit="1" customWidth="1"/>
    <col min="398" max="398" width="7" bestFit="1" customWidth="1"/>
    <col min="399" max="403" width="4" bestFit="1" customWidth="1"/>
    <col min="404" max="404" width="11" bestFit="1" customWidth="1"/>
    <col min="405" max="406" width="10" bestFit="1" customWidth="1"/>
    <col min="407" max="407" width="7" bestFit="1" customWidth="1"/>
    <col min="408" max="409" width="4" bestFit="1" customWidth="1"/>
    <col min="410" max="410" width="8" bestFit="1" customWidth="1"/>
    <col min="411" max="417" width="4" bestFit="1" customWidth="1"/>
    <col min="418" max="419" width="10" bestFit="1" customWidth="1"/>
    <col min="420" max="421" width="4" bestFit="1" customWidth="1"/>
    <col min="422" max="422" width="10" bestFit="1" customWidth="1"/>
    <col min="423" max="423" width="8" bestFit="1" customWidth="1"/>
    <col min="424" max="424" width="4" bestFit="1" customWidth="1"/>
    <col min="425" max="425" width="10" bestFit="1" customWidth="1"/>
    <col min="426" max="426" width="4" bestFit="1" customWidth="1"/>
    <col min="427" max="427" width="10" bestFit="1" customWidth="1"/>
    <col min="428" max="429" width="4" bestFit="1" customWidth="1"/>
    <col min="430" max="430" width="10" bestFit="1" customWidth="1"/>
    <col min="431" max="432" width="4" bestFit="1" customWidth="1"/>
    <col min="433" max="433" width="8" bestFit="1" customWidth="1"/>
    <col min="434" max="435" width="10" bestFit="1" customWidth="1"/>
    <col min="436" max="436" width="4" bestFit="1" customWidth="1"/>
    <col min="437" max="437" width="10" bestFit="1" customWidth="1"/>
    <col min="438" max="439" width="4" bestFit="1" customWidth="1"/>
    <col min="440" max="440" width="7" bestFit="1" customWidth="1"/>
    <col min="441" max="441" width="8" bestFit="1" customWidth="1"/>
    <col min="442" max="446" width="4" bestFit="1" customWidth="1"/>
    <col min="447" max="447" width="10" bestFit="1" customWidth="1"/>
    <col min="448" max="450" width="4" bestFit="1" customWidth="1"/>
    <col min="451" max="451" width="10" bestFit="1" customWidth="1"/>
    <col min="452" max="452" width="4" bestFit="1" customWidth="1"/>
    <col min="453" max="454" width="8" bestFit="1" customWidth="1"/>
    <col min="455" max="455" width="6" bestFit="1" customWidth="1"/>
    <col min="456" max="457" width="4" bestFit="1" customWidth="1"/>
    <col min="458" max="458" width="7" bestFit="1" customWidth="1"/>
    <col min="459" max="460" width="4" bestFit="1" customWidth="1"/>
    <col min="461" max="463" width="7" bestFit="1" customWidth="1"/>
    <col min="464" max="464" width="4" bestFit="1" customWidth="1"/>
    <col min="465" max="465" width="10" bestFit="1" customWidth="1"/>
    <col min="466" max="466" width="7" bestFit="1" customWidth="1"/>
    <col min="467" max="467" width="4" bestFit="1" customWidth="1"/>
    <col min="468" max="468" width="6" bestFit="1" customWidth="1"/>
    <col min="469" max="469" width="8" bestFit="1" customWidth="1"/>
    <col min="470" max="473" width="4" bestFit="1" customWidth="1"/>
    <col min="474" max="474" width="8" bestFit="1" customWidth="1"/>
    <col min="475" max="475" width="4" bestFit="1" customWidth="1"/>
    <col min="476" max="476" width="7" bestFit="1" customWidth="1"/>
    <col min="477" max="477" width="5" bestFit="1" customWidth="1"/>
    <col min="478" max="479" width="9" bestFit="1" customWidth="1"/>
    <col min="480" max="496" width="5" bestFit="1" customWidth="1"/>
    <col min="497" max="497" width="7" bestFit="1" customWidth="1"/>
    <col min="498" max="498" width="9" bestFit="1" customWidth="1"/>
    <col min="499" max="499" width="5" bestFit="1" customWidth="1"/>
    <col min="500" max="500" width="9" bestFit="1" customWidth="1"/>
    <col min="501" max="502" width="5" bestFit="1" customWidth="1"/>
    <col min="503" max="503" width="9" bestFit="1" customWidth="1"/>
    <col min="504" max="513" width="5" bestFit="1" customWidth="1"/>
    <col min="514" max="514" width="9" bestFit="1" customWidth="1"/>
    <col min="515" max="515" width="7" bestFit="1" customWidth="1"/>
    <col min="516" max="516" width="5" bestFit="1" customWidth="1"/>
    <col min="517" max="517" width="9" bestFit="1" customWidth="1"/>
    <col min="518" max="518" width="5" bestFit="1" customWidth="1"/>
    <col min="519" max="519" width="9" bestFit="1" customWidth="1"/>
    <col min="520" max="521" width="5" bestFit="1" customWidth="1"/>
    <col min="522" max="522" width="7" bestFit="1" customWidth="1"/>
    <col min="523" max="523" width="10" bestFit="1" customWidth="1"/>
    <col min="524" max="524" width="5" bestFit="1" customWidth="1"/>
    <col min="525" max="525" width="8" bestFit="1" customWidth="1"/>
    <col min="526" max="526" width="10" bestFit="1" customWidth="1"/>
    <col min="527" max="527" width="9" bestFit="1" customWidth="1"/>
    <col min="528" max="528" width="7" bestFit="1" customWidth="1"/>
    <col min="529" max="529" width="5" bestFit="1" customWidth="1"/>
    <col min="530" max="530" width="9" bestFit="1" customWidth="1"/>
    <col min="531" max="531" width="5" bestFit="1" customWidth="1"/>
    <col min="532" max="532" width="7" bestFit="1" customWidth="1"/>
    <col min="533" max="533" width="10" bestFit="1" customWidth="1"/>
    <col min="534" max="534" width="5" bestFit="1" customWidth="1"/>
    <col min="535" max="535" width="12" bestFit="1" customWidth="1"/>
    <col min="536" max="537" width="5" bestFit="1" customWidth="1"/>
    <col min="538" max="538" width="11" bestFit="1" customWidth="1"/>
    <col min="539" max="539" width="9" bestFit="1" customWidth="1"/>
    <col min="540" max="540" width="12" bestFit="1" customWidth="1"/>
    <col min="541" max="541" width="9" bestFit="1" customWidth="1"/>
    <col min="542" max="543" width="5" bestFit="1" customWidth="1"/>
    <col min="544" max="545" width="9" bestFit="1" customWidth="1"/>
    <col min="546" max="546" width="10" bestFit="1" customWidth="1"/>
    <col min="547" max="551" width="5" bestFit="1" customWidth="1"/>
    <col min="552" max="553" width="9" bestFit="1" customWidth="1"/>
    <col min="554" max="554" width="10" bestFit="1" customWidth="1"/>
    <col min="555" max="555" width="11" bestFit="1" customWidth="1"/>
    <col min="556" max="556" width="5" bestFit="1" customWidth="1"/>
    <col min="557" max="557" width="8" bestFit="1" customWidth="1"/>
    <col min="558" max="558" width="9" bestFit="1" customWidth="1"/>
    <col min="559" max="561" width="5" bestFit="1" customWidth="1"/>
    <col min="562" max="562" width="9" bestFit="1" customWidth="1"/>
    <col min="563" max="565" width="5" bestFit="1" customWidth="1"/>
    <col min="566" max="566" width="7" bestFit="1" customWidth="1"/>
    <col min="567" max="569" width="9" bestFit="1" customWidth="1"/>
    <col min="570" max="570" width="8" bestFit="1" customWidth="1"/>
    <col min="571" max="571" width="9" bestFit="1" customWidth="1"/>
    <col min="572" max="572" width="11" bestFit="1" customWidth="1"/>
    <col min="573" max="573" width="5" bestFit="1" customWidth="1"/>
    <col min="574" max="574" width="9" bestFit="1" customWidth="1"/>
    <col min="575" max="575" width="8" bestFit="1" customWidth="1"/>
    <col min="576" max="576" width="10" bestFit="1" customWidth="1"/>
    <col min="577" max="577" width="5" bestFit="1" customWidth="1"/>
    <col min="578" max="578" width="9" bestFit="1" customWidth="1"/>
    <col min="579" max="580" width="5" bestFit="1" customWidth="1"/>
    <col min="581" max="581" width="9" bestFit="1" customWidth="1"/>
    <col min="582" max="586" width="5" bestFit="1" customWidth="1"/>
    <col min="587" max="587" width="10" bestFit="1" customWidth="1"/>
    <col min="588" max="589" width="8" bestFit="1" customWidth="1"/>
    <col min="590" max="590" width="12" bestFit="1" customWidth="1"/>
    <col min="591" max="591" width="9" bestFit="1" customWidth="1"/>
    <col min="592" max="592" width="11" bestFit="1" customWidth="1"/>
    <col min="593" max="593" width="5" bestFit="1" customWidth="1"/>
    <col min="594" max="594" width="9" bestFit="1" customWidth="1"/>
    <col min="595" max="595" width="10" bestFit="1" customWidth="1"/>
    <col min="596" max="596" width="5" bestFit="1" customWidth="1"/>
    <col min="597" max="597" width="9" bestFit="1" customWidth="1"/>
    <col min="598" max="598" width="10" bestFit="1" customWidth="1"/>
    <col min="599" max="600" width="5" bestFit="1" customWidth="1"/>
    <col min="601" max="601" width="10" bestFit="1" customWidth="1"/>
    <col min="602" max="604" width="5" bestFit="1" customWidth="1"/>
    <col min="605" max="605" width="10" bestFit="1" customWidth="1"/>
    <col min="606" max="606" width="8" bestFit="1" customWidth="1"/>
    <col min="607" max="608" width="5" bestFit="1" customWidth="1"/>
    <col min="609" max="609" width="9" bestFit="1" customWidth="1"/>
    <col min="610" max="610" width="10" bestFit="1" customWidth="1"/>
    <col min="611" max="611" width="5" bestFit="1" customWidth="1"/>
    <col min="612" max="612" width="12" bestFit="1" customWidth="1"/>
    <col min="613" max="613" width="11" bestFit="1" customWidth="1"/>
    <col min="614" max="614" width="10" bestFit="1" customWidth="1"/>
    <col min="615" max="615" width="11" bestFit="1" customWidth="1"/>
    <col min="616" max="616" width="8" bestFit="1" customWidth="1"/>
    <col min="617" max="617" width="11" bestFit="1" customWidth="1"/>
    <col min="618" max="618" width="10" bestFit="1" customWidth="1"/>
    <col min="619" max="619" width="11" bestFit="1" customWidth="1"/>
    <col min="620" max="620" width="5" bestFit="1" customWidth="1"/>
    <col min="621" max="623" width="8" bestFit="1" customWidth="1"/>
    <col min="624" max="624" width="11.28515625" bestFit="1" customWidth="1"/>
  </cols>
  <sheetData>
    <row r="1" spans="1:32" x14ac:dyDescent="0.25">
      <c r="B1" s="4" t="s">
        <v>70</v>
      </c>
      <c r="J1" s="4" t="s">
        <v>70</v>
      </c>
    </row>
    <row r="2" spans="1:32" x14ac:dyDescent="0.25">
      <c r="A2" t="s">
        <v>37</v>
      </c>
      <c r="F2" t="s">
        <v>69</v>
      </c>
      <c r="J2" s="4"/>
      <c r="M2" t="s">
        <v>54</v>
      </c>
      <c r="T2" t="s">
        <v>20</v>
      </c>
      <c r="X2" s="8" t="s">
        <v>44</v>
      </c>
      <c r="Y2" t="s">
        <v>50</v>
      </c>
    </row>
    <row r="3" spans="1:32" x14ac:dyDescent="0.25">
      <c r="A3" t="s">
        <v>32</v>
      </c>
      <c r="B3" t="s">
        <v>33</v>
      </c>
      <c r="E3" t="s">
        <v>32</v>
      </c>
      <c r="F3" t="s">
        <v>35</v>
      </c>
      <c r="G3" t="s">
        <v>36</v>
      </c>
      <c r="H3" t="s">
        <v>20</v>
      </c>
      <c r="I3" t="s">
        <v>52</v>
      </c>
      <c r="J3" s="4" t="s">
        <v>53</v>
      </c>
      <c r="M3" t="s">
        <v>32</v>
      </c>
      <c r="N3" t="s">
        <v>14</v>
      </c>
      <c r="O3" t="s">
        <v>55</v>
      </c>
      <c r="P3" t="s">
        <v>34</v>
      </c>
      <c r="Q3" t="s">
        <v>33</v>
      </c>
      <c r="R3" t="s">
        <v>44</v>
      </c>
      <c r="T3" t="str">
        <f>+estDD!C31</f>
        <v>YearC</v>
      </c>
      <c r="U3" t="str">
        <f>+estDD!D31</f>
        <v>estDD</v>
      </c>
      <c r="V3" t="str">
        <f>+estDD!E31</f>
        <v>FlagName</v>
      </c>
    </row>
    <row r="4" spans="1:32" x14ac:dyDescent="0.25">
      <c r="A4">
        <v>1950</v>
      </c>
      <c r="B4">
        <v>586</v>
      </c>
      <c r="E4">
        <v>1950</v>
      </c>
      <c r="G4">
        <v>586</v>
      </c>
      <c r="I4">
        <f>+SUM(F4:H4)</f>
        <v>586</v>
      </c>
      <c r="J4" s="4">
        <f t="shared" ref="J4:J67" si="0">+IF(B4=I4,0,B4-I4)</f>
        <v>0</v>
      </c>
      <c r="M4">
        <v>2022</v>
      </c>
      <c r="N4" t="s">
        <v>11</v>
      </c>
      <c r="O4" t="s">
        <v>56</v>
      </c>
      <c r="P4" t="s">
        <v>35</v>
      </c>
      <c r="Q4">
        <v>0</v>
      </c>
      <c r="T4">
        <f>+estDD!C32</f>
        <v>2014</v>
      </c>
      <c r="U4">
        <f>+estDD!D32</f>
        <v>0</v>
      </c>
      <c r="V4" t="str">
        <f>+estDD!E32</f>
        <v>EU-Italy</v>
      </c>
      <c r="X4" s="8" t="s">
        <v>49</v>
      </c>
      <c r="Y4" s="8" t="s">
        <v>48</v>
      </c>
      <c r="AE4" s="8" t="s">
        <v>46</v>
      </c>
      <c r="AF4" t="s">
        <v>51</v>
      </c>
    </row>
    <row r="5" spans="1:32" x14ac:dyDescent="0.25">
      <c r="A5">
        <v>1951</v>
      </c>
      <c r="B5">
        <v>580</v>
      </c>
      <c r="D5" s="7"/>
      <c r="E5">
        <v>1951</v>
      </c>
      <c r="G5">
        <v>580</v>
      </c>
      <c r="I5">
        <f t="shared" ref="I5:I68" si="1">+SUM(F5:H5)</f>
        <v>580</v>
      </c>
      <c r="J5" s="4">
        <f t="shared" si="0"/>
        <v>0</v>
      </c>
      <c r="M5">
        <v>2023</v>
      </c>
      <c r="N5" t="s">
        <v>11</v>
      </c>
      <c r="O5" t="s">
        <v>56</v>
      </c>
      <c r="P5" t="s">
        <v>35</v>
      </c>
      <c r="Q5">
        <v>0</v>
      </c>
      <c r="T5">
        <f>+estDD!C33</f>
        <v>2015</v>
      </c>
      <c r="U5">
        <f>+estDD!D33</f>
        <v>0</v>
      </c>
      <c r="V5" t="str">
        <f>+estDD!E33</f>
        <v>EU-Italy</v>
      </c>
      <c r="X5" s="8" t="s">
        <v>46</v>
      </c>
      <c r="Y5" t="s">
        <v>35</v>
      </c>
      <c r="Z5" t="s">
        <v>36</v>
      </c>
      <c r="AA5" t="s">
        <v>47</v>
      </c>
      <c r="AE5" s="9">
        <v>2014</v>
      </c>
      <c r="AF5" s="10">
        <v>218.68712969553877</v>
      </c>
    </row>
    <row r="6" spans="1:32" x14ac:dyDescent="0.25">
      <c r="A6">
        <v>1952</v>
      </c>
      <c r="B6">
        <v>337</v>
      </c>
      <c r="E6">
        <v>1952</v>
      </c>
      <c r="G6">
        <v>337</v>
      </c>
      <c r="I6">
        <f t="shared" si="1"/>
        <v>337</v>
      </c>
      <c r="J6" s="4">
        <f t="shared" si="0"/>
        <v>0</v>
      </c>
      <c r="M6">
        <v>2024</v>
      </c>
      <c r="N6" t="s">
        <v>11</v>
      </c>
      <c r="O6" t="s">
        <v>56</v>
      </c>
      <c r="P6" t="s">
        <v>35</v>
      </c>
      <c r="Q6">
        <v>0</v>
      </c>
      <c r="T6">
        <f>+estDD!C34</f>
        <v>2016</v>
      </c>
      <c r="U6">
        <f>+estDD!D34</f>
        <v>0</v>
      </c>
      <c r="V6" t="str">
        <f>+estDD!E34</f>
        <v>EU-Italy</v>
      </c>
      <c r="X6" s="9">
        <v>1950</v>
      </c>
      <c r="Y6" s="10"/>
      <c r="Z6" s="10">
        <v>586</v>
      </c>
      <c r="AA6" s="10">
        <v>586</v>
      </c>
      <c r="AE6" s="9">
        <v>2015</v>
      </c>
      <c r="AF6" s="10">
        <v>271.97862061645299</v>
      </c>
    </row>
    <row r="7" spans="1:32" x14ac:dyDescent="0.25">
      <c r="A7">
        <v>1953</v>
      </c>
      <c r="B7">
        <v>501</v>
      </c>
      <c r="E7">
        <v>1953</v>
      </c>
      <c r="G7">
        <v>501</v>
      </c>
      <c r="I7">
        <f t="shared" si="1"/>
        <v>501</v>
      </c>
      <c r="J7" s="4">
        <f t="shared" si="0"/>
        <v>0</v>
      </c>
      <c r="M7">
        <v>2014</v>
      </c>
      <c r="N7" t="s">
        <v>4</v>
      </c>
      <c r="O7" t="s">
        <v>56</v>
      </c>
      <c r="P7" t="s">
        <v>35</v>
      </c>
      <c r="Q7">
        <v>0</v>
      </c>
      <c r="T7">
        <f>+estDD!C35</f>
        <v>2017</v>
      </c>
      <c r="U7">
        <f>+estDD!D35</f>
        <v>0</v>
      </c>
      <c r="V7" t="str">
        <f>+estDD!E35</f>
        <v>EU-Italy</v>
      </c>
      <c r="X7" s="9">
        <v>1951</v>
      </c>
      <c r="Y7" s="10"/>
      <c r="Z7" s="10">
        <v>580</v>
      </c>
      <c r="AA7" s="10">
        <v>580</v>
      </c>
      <c r="AE7" s="9">
        <v>2016</v>
      </c>
      <c r="AF7" s="10">
        <v>287.35876966352117</v>
      </c>
    </row>
    <row r="8" spans="1:32" x14ac:dyDescent="0.25">
      <c r="A8">
        <v>1954</v>
      </c>
      <c r="B8">
        <v>452</v>
      </c>
      <c r="E8">
        <v>1954</v>
      </c>
      <c r="G8">
        <v>452</v>
      </c>
      <c r="I8">
        <f t="shared" si="1"/>
        <v>452</v>
      </c>
      <c r="J8" s="4">
        <f t="shared" si="0"/>
        <v>0</v>
      </c>
      <c r="M8">
        <v>2022</v>
      </c>
      <c r="N8" t="s">
        <v>11</v>
      </c>
      <c r="O8" t="s">
        <v>57</v>
      </c>
      <c r="P8" t="s">
        <v>35</v>
      </c>
      <c r="Q8">
        <v>0</v>
      </c>
      <c r="T8">
        <f>+estDD!C36</f>
        <v>2018</v>
      </c>
      <c r="U8">
        <f>+estDD!D36</f>
        <v>0</v>
      </c>
      <c r="V8" t="str">
        <f>+estDD!E36</f>
        <v>EU-Italy</v>
      </c>
      <c r="X8" s="9">
        <v>1952</v>
      </c>
      <c r="Y8" s="10"/>
      <c r="Z8" s="10">
        <v>337</v>
      </c>
      <c r="AA8" s="10">
        <v>337</v>
      </c>
      <c r="AE8" s="9">
        <v>2017</v>
      </c>
      <c r="AF8" s="10">
        <v>442.46638840108801</v>
      </c>
    </row>
    <row r="9" spans="1:32" x14ac:dyDescent="0.25">
      <c r="A9">
        <v>1955</v>
      </c>
      <c r="B9">
        <v>340</v>
      </c>
      <c r="E9">
        <v>1955</v>
      </c>
      <c r="G9">
        <v>340</v>
      </c>
      <c r="I9">
        <f t="shared" si="1"/>
        <v>340</v>
      </c>
      <c r="J9" s="4">
        <f t="shared" si="0"/>
        <v>0</v>
      </c>
      <c r="M9">
        <v>2023</v>
      </c>
      <c r="N9" t="s">
        <v>11</v>
      </c>
      <c r="O9" t="s">
        <v>57</v>
      </c>
      <c r="P9" t="s">
        <v>35</v>
      </c>
      <c r="Q9">
        <v>3.5000000000000003E-2</v>
      </c>
      <c r="T9">
        <f>+estDD!C37</f>
        <v>2019</v>
      </c>
      <c r="U9">
        <f>+estDD!D37</f>
        <v>1000.8073848068221</v>
      </c>
      <c r="V9" t="str">
        <f>+estDD!E37</f>
        <v>EU-Italy</v>
      </c>
      <c r="X9" s="9">
        <v>1953</v>
      </c>
      <c r="Y9" s="10"/>
      <c r="Z9" s="10">
        <v>501</v>
      </c>
      <c r="AA9" s="10">
        <v>501</v>
      </c>
      <c r="AE9" s="9">
        <v>2018</v>
      </c>
      <c r="AF9" s="10">
        <v>427.6663271970948</v>
      </c>
    </row>
    <row r="10" spans="1:32" x14ac:dyDescent="0.25">
      <c r="A10">
        <v>1956</v>
      </c>
      <c r="B10">
        <v>393</v>
      </c>
      <c r="E10">
        <v>1956</v>
      </c>
      <c r="G10">
        <v>393</v>
      </c>
      <c r="I10">
        <f t="shared" si="1"/>
        <v>393</v>
      </c>
      <c r="J10" s="4">
        <f t="shared" si="0"/>
        <v>0</v>
      </c>
      <c r="M10">
        <v>2024</v>
      </c>
      <c r="N10" t="s">
        <v>11</v>
      </c>
      <c r="O10" t="s">
        <v>57</v>
      </c>
      <c r="P10" t="s">
        <v>35</v>
      </c>
      <c r="Q10">
        <v>0</v>
      </c>
      <c r="T10">
        <f>+estDD!C38</f>
        <v>2020</v>
      </c>
      <c r="U10">
        <f>+estDD!D38</f>
        <v>907.41008500892758</v>
      </c>
      <c r="V10" t="str">
        <f>+estDD!E38</f>
        <v>EU-Italy</v>
      </c>
      <c r="X10" s="9">
        <v>1954</v>
      </c>
      <c r="Y10" s="10"/>
      <c r="Z10" s="10">
        <v>452</v>
      </c>
      <c r="AA10" s="10">
        <v>452</v>
      </c>
      <c r="AE10" s="9">
        <v>2019</v>
      </c>
      <c r="AF10" s="10">
        <v>2671.1915715330606</v>
      </c>
    </row>
    <row r="11" spans="1:32" x14ac:dyDescent="0.25">
      <c r="A11">
        <v>1957</v>
      </c>
      <c r="B11">
        <v>645.4</v>
      </c>
      <c r="E11">
        <v>1957</v>
      </c>
      <c r="G11">
        <v>645.4</v>
      </c>
      <c r="I11">
        <f t="shared" si="1"/>
        <v>645.4</v>
      </c>
      <c r="J11" s="4">
        <f t="shared" si="0"/>
        <v>0</v>
      </c>
      <c r="M11">
        <v>2014</v>
      </c>
      <c r="N11" t="s">
        <v>4</v>
      </c>
      <c r="O11" t="s">
        <v>57</v>
      </c>
      <c r="P11" t="s">
        <v>35</v>
      </c>
      <c r="Q11">
        <v>0</v>
      </c>
      <c r="T11">
        <f>+estDD!C39</f>
        <v>2021</v>
      </c>
      <c r="U11">
        <f>+estDD!D39</f>
        <v>812.70251308370166</v>
      </c>
      <c r="V11" t="str">
        <f>+estDD!E39</f>
        <v>EU-Italy</v>
      </c>
      <c r="X11" s="9">
        <v>1955</v>
      </c>
      <c r="Y11" s="10"/>
      <c r="Z11" s="10">
        <v>340</v>
      </c>
      <c r="AA11" s="10">
        <v>340</v>
      </c>
      <c r="AE11" s="9">
        <v>2020</v>
      </c>
      <c r="AF11" s="10">
        <v>2611.9625621169439</v>
      </c>
    </row>
    <row r="12" spans="1:32" x14ac:dyDescent="0.25">
      <c r="A12">
        <v>1958</v>
      </c>
      <c r="B12">
        <v>914</v>
      </c>
      <c r="E12">
        <v>1958</v>
      </c>
      <c r="G12">
        <v>914</v>
      </c>
      <c r="I12">
        <f t="shared" si="1"/>
        <v>914</v>
      </c>
      <c r="J12" s="4">
        <f t="shared" si="0"/>
        <v>0</v>
      </c>
      <c r="M12">
        <v>2011</v>
      </c>
      <c r="N12" t="s">
        <v>2</v>
      </c>
      <c r="O12" t="s">
        <v>58</v>
      </c>
      <c r="P12" t="s">
        <v>35</v>
      </c>
      <c r="Q12">
        <v>0</v>
      </c>
      <c r="T12">
        <f>+estDD!C40</f>
        <v>2022</v>
      </c>
      <c r="U12">
        <f>+estDD!D40</f>
        <v>828.88551009018715</v>
      </c>
      <c r="V12" t="str">
        <f>+estDD!E40</f>
        <v>EU-Italy</v>
      </c>
      <c r="X12" s="9">
        <v>1956</v>
      </c>
      <c r="Y12" s="10"/>
      <c r="Z12" s="10">
        <v>393</v>
      </c>
      <c r="AA12" s="10">
        <v>393</v>
      </c>
      <c r="AE12" s="9">
        <v>2021</v>
      </c>
      <c r="AF12" s="10">
        <v>2434.4906641431685</v>
      </c>
    </row>
    <row r="13" spans="1:32" x14ac:dyDescent="0.25">
      <c r="A13">
        <v>1959</v>
      </c>
      <c r="B13">
        <v>600.66700000000003</v>
      </c>
      <c r="E13">
        <v>1959</v>
      </c>
      <c r="G13">
        <v>600.66699999999992</v>
      </c>
      <c r="I13">
        <f t="shared" si="1"/>
        <v>600.66699999999992</v>
      </c>
      <c r="J13" s="4">
        <f t="shared" si="0"/>
        <v>0</v>
      </c>
      <c r="M13">
        <v>2015</v>
      </c>
      <c r="N13" t="s">
        <v>2</v>
      </c>
      <c r="O13" t="s">
        <v>58</v>
      </c>
      <c r="P13" t="s">
        <v>35</v>
      </c>
      <c r="Q13">
        <v>6.7089999999999996</v>
      </c>
      <c r="R13">
        <v>1</v>
      </c>
      <c r="T13">
        <f>+estDD!C41</f>
        <v>2023</v>
      </c>
      <c r="U13">
        <f>+estDD!D41</f>
        <v>934.30638544806095</v>
      </c>
      <c r="V13" t="str">
        <f>+estDD!E41</f>
        <v>EU-Italy</v>
      </c>
      <c r="X13" s="9">
        <v>1957</v>
      </c>
      <c r="Y13" s="10"/>
      <c r="Z13" s="10">
        <v>645.4</v>
      </c>
      <c r="AA13" s="10">
        <v>645.4</v>
      </c>
      <c r="AE13" s="9">
        <v>2022</v>
      </c>
      <c r="AF13" s="10">
        <v>2460.0084090417299</v>
      </c>
    </row>
    <row r="14" spans="1:32" x14ac:dyDescent="0.25">
      <c r="A14">
        <v>1960</v>
      </c>
      <c r="B14">
        <v>515.22199999999998</v>
      </c>
      <c r="E14">
        <v>1960</v>
      </c>
      <c r="G14">
        <v>515.22199999999998</v>
      </c>
      <c r="I14">
        <f t="shared" si="1"/>
        <v>515.22199999999998</v>
      </c>
      <c r="J14" s="4">
        <f t="shared" si="0"/>
        <v>0</v>
      </c>
      <c r="M14">
        <v>2018</v>
      </c>
      <c r="N14" t="s">
        <v>2</v>
      </c>
      <c r="O14" t="s">
        <v>58</v>
      </c>
      <c r="P14" t="s">
        <v>35</v>
      </c>
      <c r="Q14">
        <v>83.529499999999999</v>
      </c>
      <c r="R14">
        <v>1</v>
      </c>
      <c r="T14">
        <f>+estDD!C42</f>
        <v>2024</v>
      </c>
      <c r="U14">
        <f>+estDD!D42</f>
        <v>1246.9394882698637</v>
      </c>
      <c r="V14" t="str">
        <f>+estDD!E42</f>
        <v>EU-Italy</v>
      </c>
      <c r="X14" s="9">
        <v>1958</v>
      </c>
      <c r="Y14" s="10"/>
      <c r="Z14" s="10">
        <v>914</v>
      </c>
      <c r="AA14" s="10">
        <v>914</v>
      </c>
      <c r="AE14" s="9">
        <v>2023</v>
      </c>
      <c r="AF14" s="10">
        <v>2603.6953147364429</v>
      </c>
    </row>
    <row r="15" spans="1:32" x14ac:dyDescent="0.25">
      <c r="A15">
        <v>1961</v>
      </c>
      <c r="B15">
        <v>611.96299999999997</v>
      </c>
      <c r="E15">
        <v>1961</v>
      </c>
      <c r="G15">
        <v>611.96299999999997</v>
      </c>
      <c r="I15">
        <f t="shared" si="1"/>
        <v>611.96299999999997</v>
      </c>
      <c r="J15" s="4">
        <f t="shared" si="0"/>
        <v>0</v>
      </c>
      <c r="M15">
        <v>2019</v>
      </c>
      <c r="N15" t="s">
        <v>2</v>
      </c>
      <c r="O15" t="s">
        <v>58</v>
      </c>
      <c r="P15" t="s">
        <v>35</v>
      </c>
      <c r="Q15">
        <v>89.391090000000005</v>
      </c>
      <c r="R15">
        <v>1</v>
      </c>
      <c r="T15">
        <f>+estDD!C43</f>
        <v>2014</v>
      </c>
      <c r="U15">
        <f>+estDD!D43</f>
        <v>0</v>
      </c>
      <c r="V15" t="str">
        <f>+estDD!E43</f>
        <v>EU-España</v>
      </c>
      <c r="X15" s="9">
        <v>1959</v>
      </c>
      <c r="Y15" s="10"/>
      <c r="Z15" s="10">
        <v>600.66699999999992</v>
      </c>
      <c r="AA15" s="10">
        <v>600.66699999999992</v>
      </c>
      <c r="AE15" s="9">
        <v>2024</v>
      </c>
      <c r="AF15" s="10">
        <v>2872.6256307369026</v>
      </c>
    </row>
    <row r="16" spans="1:32" x14ac:dyDescent="0.25">
      <c r="A16">
        <v>1962</v>
      </c>
      <c r="B16">
        <v>703.28399999999999</v>
      </c>
      <c r="E16">
        <v>1962</v>
      </c>
      <c r="G16">
        <v>703.28399999999999</v>
      </c>
      <c r="I16">
        <f t="shared" si="1"/>
        <v>703.28399999999999</v>
      </c>
      <c r="J16" s="4">
        <f t="shared" si="0"/>
        <v>0</v>
      </c>
      <c r="M16">
        <v>2021</v>
      </c>
      <c r="N16" t="s">
        <v>2</v>
      </c>
      <c r="O16" t="s">
        <v>58</v>
      </c>
      <c r="P16" t="s">
        <v>35</v>
      </c>
      <c r="Q16">
        <v>187.96349000000001</v>
      </c>
      <c r="R16">
        <v>1</v>
      </c>
      <c r="T16">
        <f>+estDD!C44</f>
        <v>2015</v>
      </c>
      <c r="U16">
        <f>+estDD!D44</f>
        <v>35.340018626201598</v>
      </c>
      <c r="V16" t="str">
        <f>+estDD!E44</f>
        <v>EU-España</v>
      </c>
      <c r="X16" s="9">
        <v>1960</v>
      </c>
      <c r="Y16" s="10"/>
      <c r="Z16" s="10">
        <v>515.22199999999998</v>
      </c>
      <c r="AA16" s="10">
        <v>515.22199999999998</v>
      </c>
      <c r="AE16" s="9" t="s">
        <v>47</v>
      </c>
      <c r="AF16" s="10">
        <v>17302.131387881946</v>
      </c>
    </row>
    <row r="17" spans="1:27" x14ac:dyDescent="0.25">
      <c r="A17">
        <v>1963</v>
      </c>
      <c r="B17">
        <v>722.15599999999995</v>
      </c>
      <c r="E17">
        <v>1963</v>
      </c>
      <c r="G17">
        <v>722.15599999999995</v>
      </c>
      <c r="I17">
        <f t="shared" si="1"/>
        <v>722.15599999999995</v>
      </c>
      <c r="J17" s="4">
        <f t="shared" si="0"/>
        <v>0</v>
      </c>
      <c r="M17">
        <v>2022</v>
      </c>
      <c r="N17" t="s">
        <v>2</v>
      </c>
      <c r="O17" t="s">
        <v>58</v>
      </c>
      <c r="P17" t="s">
        <v>35</v>
      </c>
      <c r="Q17">
        <v>90</v>
      </c>
      <c r="R17">
        <v>1</v>
      </c>
      <c r="T17">
        <f>+estDD!C45</f>
        <v>2016</v>
      </c>
      <c r="U17">
        <f>+estDD!D45</f>
        <v>16.0439601474943</v>
      </c>
      <c r="V17" t="str">
        <f>+estDD!E45</f>
        <v>EU-España</v>
      </c>
      <c r="X17" s="9">
        <v>1961</v>
      </c>
      <c r="Y17" s="10"/>
      <c r="Z17" s="10">
        <v>611.96299999999997</v>
      </c>
      <c r="AA17" s="10">
        <v>611.96299999999997</v>
      </c>
    </row>
    <row r="18" spans="1:27" x14ac:dyDescent="0.25">
      <c r="A18">
        <v>1964</v>
      </c>
      <c r="B18">
        <v>798.46799999999996</v>
      </c>
      <c r="E18">
        <v>1964</v>
      </c>
      <c r="G18">
        <v>798.46800000000007</v>
      </c>
      <c r="I18">
        <f t="shared" si="1"/>
        <v>798.46800000000007</v>
      </c>
      <c r="J18" s="4">
        <f t="shared" si="0"/>
        <v>0</v>
      </c>
      <c r="M18">
        <v>2023</v>
      </c>
      <c r="N18" t="s">
        <v>2</v>
      </c>
      <c r="O18" t="s">
        <v>58</v>
      </c>
      <c r="P18" t="s">
        <v>35</v>
      </c>
      <c r="Q18">
        <v>107.236</v>
      </c>
      <c r="R18">
        <v>1</v>
      </c>
      <c r="T18">
        <f>+estDD!C46</f>
        <v>2017</v>
      </c>
      <c r="U18">
        <f>+estDD!D46</f>
        <v>96.4153033763792</v>
      </c>
      <c r="V18" t="str">
        <f>+estDD!E46</f>
        <v>EU-España</v>
      </c>
      <c r="X18" s="9">
        <v>1962</v>
      </c>
      <c r="Y18" s="10"/>
      <c r="Z18" s="10">
        <v>703.28399999999999</v>
      </c>
      <c r="AA18" s="10">
        <v>703.28399999999999</v>
      </c>
    </row>
    <row r="19" spans="1:27" x14ac:dyDescent="0.25">
      <c r="A19">
        <v>1965</v>
      </c>
      <c r="B19">
        <v>1760</v>
      </c>
      <c r="E19">
        <v>1965</v>
      </c>
      <c r="G19">
        <v>1760</v>
      </c>
      <c r="I19">
        <f t="shared" si="1"/>
        <v>1760</v>
      </c>
      <c r="J19" s="4">
        <f t="shared" si="0"/>
        <v>0</v>
      </c>
      <c r="M19">
        <v>2024</v>
      </c>
      <c r="N19" t="s">
        <v>2</v>
      </c>
      <c r="O19" t="s">
        <v>58</v>
      </c>
      <c r="P19" t="s">
        <v>35</v>
      </c>
      <c r="Q19">
        <v>66.843999999999994</v>
      </c>
      <c r="R19">
        <v>1</v>
      </c>
      <c r="T19">
        <f>+estDD!C47</f>
        <v>2018</v>
      </c>
      <c r="U19">
        <f>+estDD!D47</f>
        <v>95.021806725970904</v>
      </c>
      <c r="V19" t="str">
        <f>+estDD!E47</f>
        <v>EU-España</v>
      </c>
      <c r="X19" s="9">
        <v>1963</v>
      </c>
      <c r="Y19" s="10"/>
      <c r="Z19" s="10">
        <v>722.15599999999995</v>
      </c>
      <c r="AA19" s="10">
        <v>722.15599999999995</v>
      </c>
    </row>
    <row r="20" spans="1:27" x14ac:dyDescent="0.25">
      <c r="A20">
        <v>1966</v>
      </c>
      <c r="B20">
        <v>1752</v>
      </c>
      <c r="E20">
        <v>1966</v>
      </c>
      <c r="G20">
        <v>1752</v>
      </c>
      <c r="I20">
        <f t="shared" si="1"/>
        <v>1752</v>
      </c>
      <c r="J20" s="4">
        <f t="shared" si="0"/>
        <v>0</v>
      </c>
      <c r="M20">
        <v>2008</v>
      </c>
      <c r="N20" t="s">
        <v>8</v>
      </c>
      <c r="O20" t="s">
        <v>58</v>
      </c>
      <c r="P20" t="s">
        <v>35</v>
      </c>
      <c r="Q20">
        <v>55.424889999999998</v>
      </c>
      <c r="T20">
        <f>+estDD!C48</f>
        <v>2019</v>
      </c>
      <c r="U20">
        <f>+estDD!D48</f>
        <v>46.771403029443498</v>
      </c>
      <c r="V20" t="str">
        <f>+estDD!E48</f>
        <v>EU-España</v>
      </c>
      <c r="X20" s="9">
        <v>1964</v>
      </c>
      <c r="Y20" s="10"/>
      <c r="Z20" s="10">
        <v>798.46800000000007</v>
      </c>
      <c r="AA20" s="10">
        <v>798.46800000000007</v>
      </c>
    </row>
    <row r="21" spans="1:27" x14ac:dyDescent="0.25">
      <c r="A21">
        <v>1967</v>
      </c>
      <c r="B21">
        <v>1317</v>
      </c>
      <c r="E21">
        <v>1967</v>
      </c>
      <c r="G21">
        <v>1317</v>
      </c>
      <c r="I21">
        <f t="shared" si="1"/>
        <v>1317</v>
      </c>
      <c r="J21" s="4">
        <f t="shared" si="0"/>
        <v>0</v>
      </c>
      <c r="M21">
        <v>2009</v>
      </c>
      <c r="N21" t="s">
        <v>8</v>
      </c>
      <c r="O21" t="s">
        <v>58</v>
      </c>
      <c r="P21" t="s">
        <v>35</v>
      </c>
      <c r="Q21">
        <v>43.219929999999998</v>
      </c>
      <c r="T21">
        <f>+estDD!C49</f>
        <v>2020</v>
      </c>
      <c r="U21">
        <f>+estDD!D49</f>
        <v>145.20124986586498</v>
      </c>
      <c r="V21" t="str">
        <f>+estDD!E49</f>
        <v>EU-España</v>
      </c>
      <c r="X21" s="9">
        <v>1965</v>
      </c>
      <c r="Y21" s="10"/>
      <c r="Z21" s="10">
        <v>1760</v>
      </c>
      <c r="AA21" s="10">
        <v>1760</v>
      </c>
    </row>
    <row r="22" spans="1:27" x14ac:dyDescent="0.25">
      <c r="A22">
        <v>1968</v>
      </c>
      <c r="B22">
        <v>3440</v>
      </c>
      <c r="E22">
        <v>1968</v>
      </c>
      <c r="G22">
        <v>3440</v>
      </c>
      <c r="I22">
        <f t="shared" si="1"/>
        <v>3440</v>
      </c>
      <c r="J22" s="4">
        <f t="shared" si="0"/>
        <v>0</v>
      </c>
      <c r="M22">
        <v>2010</v>
      </c>
      <c r="N22" t="s">
        <v>8</v>
      </c>
      <c r="O22" t="s">
        <v>58</v>
      </c>
      <c r="P22" t="s">
        <v>35</v>
      </c>
      <c r="Q22">
        <v>47.958329999999997</v>
      </c>
      <c r="T22">
        <f>+estDD!C50</f>
        <v>2021</v>
      </c>
      <c r="U22">
        <f>+estDD!D50</f>
        <v>87.097877492947092</v>
      </c>
      <c r="V22" t="str">
        <f>+estDD!E50</f>
        <v>EU-España</v>
      </c>
      <c r="X22" s="9">
        <v>1966</v>
      </c>
      <c r="Y22" s="10"/>
      <c r="Z22" s="10">
        <v>1752</v>
      </c>
      <c r="AA22" s="10">
        <v>1752</v>
      </c>
    </row>
    <row r="23" spans="1:27" x14ac:dyDescent="0.25">
      <c r="A23">
        <v>1969</v>
      </c>
      <c r="B23">
        <v>3723</v>
      </c>
      <c r="E23">
        <v>1969</v>
      </c>
      <c r="G23">
        <v>3723</v>
      </c>
      <c r="I23">
        <f t="shared" si="1"/>
        <v>3723</v>
      </c>
      <c r="J23" s="4">
        <f t="shared" si="0"/>
        <v>0</v>
      </c>
      <c r="M23">
        <v>2011</v>
      </c>
      <c r="N23" t="s">
        <v>8</v>
      </c>
      <c r="O23" t="s">
        <v>58</v>
      </c>
      <c r="P23" t="s">
        <v>35</v>
      </c>
      <c r="Q23">
        <v>27.224250000000001</v>
      </c>
      <c r="T23">
        <f>+estDD!C51</f>
        <v>2022</v>
      </c>
      <c r="U23">
        <f>+estDD!D51</f>
        <v>249.16247836086799</v>
      </c>
      <c r="V23" t="str">
        <f>+estDD!E51</f>
        <v>EU-España</v>
      </c>
      <c r="X23" s="9">
        <v>1967</v>
      </c>
      <c r="Y23" s="10"/>
      <c r="Z23" s="10">
        <v>1317</v>
      </c>
      <c r="AA23" s="10">
        <v>1317</v>
      </c>
    </row>
    <row r="24" spans="1:27" x14ac:dyDescent="0.25">
      <c r="A24">
        <v>1970</v>
      </c>
      <c r="B24">
        <v>3341</v>
      </c>
      <c r="E24">
        <v>1970</v>
      </c>
      <c r="G24">
        <v>3341</v>
      </c>
      <c r="I24">
        <f t="shared" si="1"/>
        <v>3341</v>
      </c>
      <c r="J24" s="4">
        <f t="shared" si="0"/>
        <v>0</v>
      </c>
      <c r="M24">
        <v>2012</v>
      </c>
      <c r="N24" t="s">
        <v>8</v>
      </c>
      <c r="O24" t="s">
        <v>58</v>
      </c>
      <c r="P24" t="s">
        <v>35</v>
      </c>
      <c r="Q24">
        <v>9.5482999999999993</v>
      </c>
      <c r="T24">
        <f>+estDD!C52</f>
        <v>2023</v>
      </c>
      <c r="U24">
        <f>+estDD!D52</f>
        <v>187.427042735263</v>
      </c>
      <c r="V24" t="str">
        <f>+estDD!E52</f>
        <v>EU-España</v>
      </c>
      <c r="X24" s="9">
        <v>1968</v>
      </c>
      <c r="Y24" s="10"/>
      <c r="Z24" s="10">
        <v>3440</v>
      </c>
      <c r="AA24" s="10">
        <v>3440</v>
      </c>
    </row>
    <row r="25" spans="1:27" x14ac:dyDescent="0.25">
      <c r="A25">
        <v>1971</v>
      </c>
      <c r="B25">
        <v>4975</v>
      </c>
      <c r="E25">
        <v>1971</v>
      </c>
      <c r="G25">
        <v>4975</v>
      </c>
      <c r="I25">
        <f t="shared" si="1"/>
        <v>4975</v>
      </c>
      <c r="J25" s="4">
        <f t="shared" si="0"/>
        <v>0</v>
      </c>
      <c r="M25">
        <v>2013</v>
      </c>
      <c r="N25" t="s">
        <v>8</v>
      </c>
      <c r="O25" t="s">
        <v>58</v>
      </c>
      <c r="P25" t="s">
        <v>35</v>
      </c>
      <c r="Q25">
        <v>13.8993</v>
      </c>
      <c r="T25">
        <f>+estDD!C53</f>
        <v>2024</v>
      </c>
      <c r="U25">
        <f>+estDD!D53</f>
        <v>125.840018608311</v>
      </c>
      <c r="V25" t="str">
        <f>+estDD!E53</f>
        <v>EU-España</v>
      </c>
      <c r="X25" s="9">
        <v>1969</v>
      </c>
      <c r="Y25" s="10"/>
      <c r="Z25" s="10">
        <v>3723</v>
      </c>
      <c r="AA25" s="10">
        <v>3723</v>
      </c>
    </row>
    <row r="26" spans="1:27" x14ac:dyDescent="0.25">
      <c r="A26">
        <v>1972</v>
      </c>
      <c r="B26">
        <v>11160.406999999999</v>
      </c>
      <c r="E26">
        <v>1972</v>
      </c>
      <c r="G26">
        <v>11160.406999999999</v>
      </c>
      <c r="I26">
        <f t="shared" si="1"/>
        <v>11160.406999999999</v>
      </c>
      <c r="J26" s="4">
        <f t="shared" si="0"/>
        <v>0</v>
      </c>
      <c r="M26">
        <v>2014</v>
      </c>
      <c r="N26" t="s">
        <v>8</v>
      </c>
      <c r="O26" t="s">
        <v>58</v>
      </c>
      <c r="P26" t="s">
        <v>35</v>
      </c>
      <c r="Q26">
        <v>15.771520000000001</v>
      </c>
      <c r="T26">
        <f>+estDD!C54</f>
        <v>2014</v>
      </c>
      <c r="U26">
        <f>+estDD!D54</f>
        <v>153.33526419646813</v>
      </c>
      <c r="V26" t="str">
        <f>+estDD!E54</f>
        <v>EU-Greece</v>
      </c>
      <c r="X26" s="9">
        <v>1970</v>
      </c>
      <c r="Y26" s="10"/>
      <c r="Z26" s="10">
        <v>3341</v>
      </c>
      <c r="AA26" s="10">
        <v>3341</v>
      </c>
    </row>
    <row r="27" spans="1:27" x14ac:dyDescent="0.25">
      <c r="A27">
        <v>1973</v>
      </c>
      <c r="B27">
        <v>8734.5360000000001</v>
      </c>
      <c r="E27">
        <v>1973</v>
      </c>
      <c r="G27">
        <v>8734.5360000000001</v>
      </c>
      <c r="I27">
        <f t="shared" si="1"/>
        <v>8734.5360000000001</v>
      </c>
      <c r="J27" s="4">
        <f t="shared" si="0"/>
        <v>0</v>
      </c>
      <c r="M27">
        <v>2015</v>
      </c>
      <c r="N27" t="s">
        <v>8</v>
      </c>
      <c r="O27" t="s">
        <v>58</v>
      </c>
      <c r="P27" t="s">
        <v>35</v>
      </c>
      <c r="Q27">
        <v>9.8819700000000008</v>
      </c>
      <c r="T27">
        <f>+estDD!C55</f>
        <v>2015</v>
      </c>
      <c r="U27">
        <f>+estDD!D55</f>
        <v>86.794320796997113</v>
      </c>
      <c r="V27" t="str">
        <f>+estDD!E55</f>
        <v>EU-Greece</v>
      </c>
      <c r="X27" s="9">
        <v>1971</v>
      </c>
      <c r="Y27" s="10"/>
      <c r="Z27" s="10">
        <v>4975</v>
      </c>
      <c r="AA27" s="10">
        <v>4975</v>
      </c>
    </row>
    <row r="28" spans="1:27" x14ac:dyDescent="0.25">
      <c r="A28">
        <v>1974</v>
      </c>
      <c r="B28">
        <v>9712.6293999999998</v>
      </c>
      <c r="E28">
        <v>1974</v>
      </c>
      <c r="G28">
        <v>9712.6293999999998</v>
      </c>
      <c r="I28">
        <f t="shared" si="1"/>
        <v>9712.6293999999998</v>
      </c>
      <c r="J28" s="4">
        <f t="shared" si="0"/>
        <v>0</v>
      </c>
      <c r="M28">
        <v>2016</v>
      </c>
      <c r="N28" t="s">
        <v>8</v>
      </c>
      <c r="O28" t="s">
        <v>58</v>
      </c>
      <c r="P28" t="s">
        <v>35</v>
      </c>
      <c r="Q28">
        <v>19.783770000000001</v>
      </c>
      <c r="T28">
        <f>+estDD!C56</f>
        <v>2016</v>
      </c>
      <c r="U28">
        <f>+estDD!D56</f>
        <v>86.804703984661472</v>
      </c>
      <c r="V28" t="str">
        <f>+estDD!E56</f>
        <v>EU-Greece</v>
      </c>
      <c r="X28" s="9">
        <v>1972</v>
      </c>
      <c r="Y28" s="10"/>
      <c r="Z28" s="10">
        <v>11160.406999999999</v>
      </c>
      <c r="AA28" s="10">
        <v>11160.406999999999</v>
      </c>
    </row>
    <row r="29" spans="1:27" x14ac:dyDescent="0.25">
      <c r="A29">
        <v>1975</v>
      </c>
      <c r="B29">
        <v>8522.3613000000005</v>
      </c>
      <c r="E29">
        <v>1975</v>
      </c>
      <c r="G29">
        <v>8522.3612999999987</v>
      </c>
      <c r="I29">
        <f t="shared" si="1"/>
        <v>8522.3612999999987</v>
      </c>
      <c r="J29" s="4">
        <f t="shared" si="0"/>
        <v>0</v>
      </c>
      <c r="M29">
        <v>2017</v>
      </c>
      <c r="N29" t="s">
        <v>8</v>
      </c>
      <c r="O29" t="s">
        <v>58</v>
      </c>
      <c r="P29" t="s">
        <v>35</v>
      </c>
      <c r="Q29">
        <v>151.15246999999999</v>
      </c>
      <c r="T29">
        <f>+estDD!C57</f>
        <v>2017</v>
      </c>
      <c r="U29">
        <f>+estDD!D57</f>
        <v>127.78784382548147</v>
      </c>
      <c r="V29" t="str">
        <f>+estDD!E57</f>
        <v>EU-Greece</v>
      </c>
      <c r="X29" s="9">
        <v>1973</v>
      </c>
      <c r="Y29" s="10"/>
      <c r="Z29" s="10">
        <v>8734.5360000000001</v>
      </c>
      <c r="AA29" s="10">
        <v>8734.5360000000001</v>
      </c>
    </row>
    <row r="30" spans="1:27" x14ac:dyDescent="0.25">
      <c r="A30">
        <v>1976</v>
      </c>
      <c r="B30">
        <v>9544.1429000000007</v>
      </c>
      <c r="E30">
        <v>1976</v>
      </c>
      <c r="G30">
        <v>9544.1428999999989</v>
      </c>
      <c r="I30">
        <f t="shared" si="1"/>
        <v>9544.1428999999989</v>
      </c>
      <c r="J30" s="4">
        <f t="shared" si="0"/>
        <v>0</v>
      </c>
      <c r="M30">
        <v>2018</v>
      </c>
      <c r="N30" t="s">
        <v>8</v>
      </c>
      <c r="O30" t="s">
        <v>58</v>
      </c>
      <c r="P30" t="s">
        <v>35</v>
      </c>
      <c r="Q30">
        <v>147.97722999999999</v>
      </c>
      <c r="T30">
        <f>+estDD!C58</f>
        <v>2018</v>
      </c>
      <c r="U30">
        <f>+estDD!D58</f>
        <v>114.18344041143409</v>
      </c>
      <c r="V30" t="str">
        <f>+estDD!E58</f>
        <v>EU-Greece</v>
      </c>
      <c r="X30" s="9">
        <v>1974</v>
      </c>
      <c r="Y30" s="10"/>
      <c r="Z30" s="10">
        <v>9712.6293999999998</v>
      </c>
      <c r="AA30" s="10">
        <v>9712.6293999999998</v>
      </c>
    </row>
    <row r="31" spans="1:27" x14ac:dyDescent="0.25">
      <c r="A31">
        <v>1977</v>
      </c>
      <c r="B31">
        <v>10046.0479</v>
      </c>
      <c r="E31">
        <v>1977</v>
      </c>
      <c r="G31">
        <v>10046.0479</v>
      </c>
      <c r="I31">
        <f t="shared" si="1"/>
        <v>10046.0479</v>
      </c>
      <c r="J31" s="4">
        <f t="shared" si="0"/>
        <v>0</v>
      </c>
      <c r="M31">
        <v>2008</v>
      </c>
      <c r="N31" t="s">
        <v>6</v>
      </c>
      <c r="O31" t="s">
        <v>58</v>
      </c>
      <c r="P31" t="s">
        <v>35</v>
      </c>
      <c r="Q31">
        <v>175.24804</v>
      </c>
      <c r="T31">
        <f>+estDD!C59</f>
        <v>2019</v>
      </c>
      <c r="U31">
        <f>+estDD!D59</f>
        <v>242.85586371220288</v>
      </c>
      <c r="V31" t="str">
        <f>+estDD!E59</f>
        <v>EU-Greece</v>
      </c>
      <c r="X31" s="9">
        <v>1975</v>
      </c>
      <c r="Y31" s="10"/>
      <c r="Z31" s="10">
        <v>8522.3612999999987</v>
      </c>
      <c r="AA31" s="10">
        <v>8522.3612999999987</v>
      </c>
    </row>
    <row r="32" spans="1:27" x14ac:dyDescent="0.25">
      <c r="A32">
        <v>1978</v>
      </c>
      <c r="B32">
        <v>11327.2539</v>
      </c>
      <c r="E32">
        <v>1978</v>
      </c>
      <c r="G32">
        <v>11327.2539</v>
      </c>
      <c r="I32">
        <f t="shared" si="1"/>
        <v>11327.2539</v>
      </c>
      <c r="J32" s="4">
        <f t="shared" si="0"/>
        <v>0</v>
      </c>
      <c r="M32">
        <v>2009</v>
      </c>
      <c r="N32" t="s">
        <v>6</v>
      </c>
      <c r="O32" t="s">
        <v>58</v>
      </c>
      <c r="P32" t="s">
        <v>35</v>
      </c>
      <c r="Q32">
        <v>102.26443999999999</v>
      </c>
      <c r="T32">
        <f>+estDD!C60</f>
        <v>2020</v>
      </c>
      <c r="U32">
        <f>+estDD!D60</f>
        <v>214.25725729373619</v>
      </c>
      <c r="V32" t="str">
        <f>+estDD!E60</f>
        <v>EU-Greece</v>
      </c>
      <c r="X32" s="9">
        <v>1976</v>
      </c>
      <c r="Y32" s="10"/>
      <c r="Z32" s="10">
        <v>9544.1428999999989</v>
      </c>
      <c r="AA32" s="10">
        <v>9544.1428999999989</v>
      </c>
    </row>
    <row r="33" spans="1:27" x14ac:dyDescent="0.25">
      <c r="A33">
        <v>1979</v>
      </c>
      <c r="B33">
        <v>10654.5293</v>
      </c>
      <c r="E33">
        <v>1979</v>
      </c>
      <c r="G33">
        <v>10654.5293</v>
      </c>
      <c r="I33">
        <f t="shared" si="1"/>
        <v>10654.5293</v>
      </c>
      <c r="J33" s="4">
        <f t="shared" si="0"/>
        <v>0</v>
      </c>
      <c r="M33">
        <v>2010</v>
      </c>
      <c r="N33" t="s">
        <v>6</v>
      </c>
      <c r="O33" t="s">
        <v>58</v>
      </c>
      <c r="P33" t="s">
        <v>35</v>
      </c>
      <c r="Q33">
        <v>100.39353</v>
      </c>
      <c r="T33">
        <f>+estDD!C61</f>
        <v>2021</v>
      </c>
      <c r="U33">
        <f>+estDD!D61</f>
        <v>223.52681270993412</v>
      </c>
      <c r="V33" t="str">
        <f>+estDD!E61</f>
        <v>EU-Greece</v>
      </c>
      <c r="X33" s="9">
        <v>1977</v>
      </c>
      <c r="Y33" s="10"/>
      <c r="Z33" s="10">
        <v>10046.0479</v>
      </c>
      <c r="AA33" s="10">
        <v>10046.0479</v>
      </c>
    </row>
    <row r="34" spans="1:27" x14ac:dyDescent="0.25">
      <c r="A34">
        <v>1980</v>
      </c>
      <c r="B34">
        <v>11947.277099999999</v>
      </c>
      <c r="E34">
        <v>1980</v>
      </c>
      <c r="G34">
        <v>11947.277100000001</v>
      </c>
      <c r="I34">
        <f t="shared" si="1"/>
        <v>11947.277100000001</v>
      </c>
      <c r="J34" s="4">
        <f t="shared" si="0"/>
        <v>0</v>
      </c>
      <c r="M34">
        <v>2011</v>
      </c>
      <c r="N34" t="s">
        <v>6</v>
      </c>
      <c r="O34" t="s">
        <v>58</v>
      </c>
      <c r="P34" t="s">
        <v>35</v>
      </c>
      <c r="Q34">
        <v>42.015830000000001</v>
      </c>
      <c r="T34">
        <f>+estDD!C62</f>
        <v>2022</v>
      </c>
      <c r="U34">
        <f>+estDD!D62</f>
        <v>120.84967148325492</v>
      </c>
      <c r="V34" t="str">
        <f>+estDD!E62</f>
        <v>EU-Greece</v>
      </c>
      <c r="X34" s="9">
        <v>1978</v>
      </c>
      <c r="Y34" s="10"/>
      <c r="Z34" s="10">
        <v>11327.2539</v>
      </c>
      <c r="AA34" s="10">
        <v>11327.2539</v>
      </c>
    </row>
    <row r="35" spans="1:27" x14ac:dyDescent="0.25">
      <c r="A35">
        <v>1981</v>
      </c>
      <c r="B35">
        <v>11783.694100000001</v>
      </c>
      <c r="E35">
        <v>1981</v>
      </c>
      <c r="G35">
        <v>11783.694100000002</v>
      </c>
      <c r="I35">
        <f t="shared" si="1"/>
        <v>11783.694100000002</v>
      </c>
      <c r="J35" s="4">
        <f t="shared" si="0"/>
        <v>0</v>
      </c>
      <c r="M35">
        <v>2012</v>
      </c>
      <c r="N35" t="s">
        <v>6</v>
      </c>
      <c r="O35" t="s">
        <v>58</v>
      </c>
      <c r="P35" t="s">
        <v>35</v>
      </c>
      <c r="Q35">
        <v>77.686670000000007</v>
      </c>
      <c r="T35">
        <f>+estDD!C63</f>
        <v>2023</v>
      </c>
      <c r="U35">
        <f>+estDD!D63</f>
        <v>144.79237884229877</v>
      </c>
      <c r="V35" t="str">
        <f>+estDD!E63</f>
        <v>EU-Greece</v>
      </c>
      <c r="X35" s="9">
        <v>1979</v>
      </c>
      <c r="Y35" s="10"/>
      <c r="Z35" s="10">
        <v>10654.5293</v>
      </c>
      <c r="AA35" s="10">
        <v>10654.5293</v>
      </c>
    </row>
    <row r="36" spans="1:27" x14ac:dyDescent="0.25">
      <c r="A36">
        <v>1982</v>
      </c>
      <c r="B36">
        <v>10198.085999999999</v>
      </c>
      <c r="E36">
        <v>1982</v>
      </c>
      <c r="G36">
        <v>10198.085999999999</v>
      </c>
      <c r="I36">
        <f t="shared" si="1"/>
        <v>10198.085999999999</v>
      </c>
      <c r="J36" s="4">
        <f t="shared" si="0"/>
        <v>0</v>
      </c>
      <c r="M36">
        <v>2013</v>
      </c>
      <c r="N36" t="s">
        <v>6</v>
      </c>
      <c r="O36" t="s">
        <v>58</v>
      </c>
      <c r="P36" t="s">
        <v>35</v>
      </c>
      <c r="Q36">
        <v>83.800030000000007</v>
      </c>
      <c r="T36">
        <f>+estDD!C64</f>
        <v>2024</v>
      </c>
      <c r="U36">
        <f>+estDD!D64</f>
        <v>163.3464303202779</v>
      </c>
      <c r="V36" t="str">
        <f>+estDD!E64</f>
        <v>EU-Greece</v>
      </c>
      <c r="X36" s="9">
        <v>1980</v>
      </c>
      <c r="Y36" s="10"/>
      <c r="Z36" s="10">
        <v>11947.277100000001</v>
      </c>
      <c r="AA36" s="10">
        <v>11947.277100000001</v>
      </c>
    </row>
    <row r="37" spans="1:27" x14ac:dyDescent="0.25">
      <c r="A37">
        <v>1983</v>
      </c>
      <c r="B37">
        <v>10696.376</v>
      </c>
      <c r="E37">
        <v>1983</v>
      </c>
      <c r="G37">
        <v>10696.376</v>
      </c>
      <c r="I37">
        <f t="shared" si="1"/>
        <v>10696.376</v>
      </c>
      <c r="J37" s="4">
        <f t="shared" si="0"/>
        <v>0</v>
      </c>
      <c r="M37">
        <v>2014</v>
      </c>
      <c r="N37" t="s">
        <v>6</v>
      </c>
      <c r="O37" t="s">
        <v>58</v>
      </c>
      <c r="P37" t="s">
        <v>35</v>
      </c>
      <c r="Q37">
        <v>144.83017000000001</v>
      </c>
      <c r="T37">
        <f>+estDD!C65</f>
        <v>2014</v>
      </c>
      <c r="U37">
        <f>+estDD!D65</f>
        <v>0</v>
      </c>
      <c r="V37" t="str">
        <f>+estDD!E65</f>
        <v>Maroc</v>
      </c>
      <c r="X37" s="9">
        <v>1981</v>
      </c>
      <c r="Y37" s="10"/>
      <c r="Z37" s="10">
        <v>11783.694100000002</v>
      </c>
      <c r="AA37" s="10">
        <v>11783.694100000002</v>
      </c>
    </row>
    <row r="38" spans="1:27" x14ac:dyDescent="0.25">
      <c r="A38">
        <v>1984</v>
      </c>
      <c r="B38">
        <v>13665.5769</v>
      </c>
      <c r="E38">
        <v>1984</v>
      </c>
      <c r="G38">
        <v>13665.576899999998</v>
      </c>
      <c r="I38">
        <f t="shared" si="1"/>
        <v>13665.576899999998</v>
      </c>
      <c r="J38" s="4">
        <f t="shared" si="0"/>
        <v>0</v>
      </c>
      <c r="M38">
        <v>2015</v>
      </c>
      <c r="N38" t="s">
        <v>6</v>
      </c>
      <c r="O38" t="s">
        <v>58</v>
      </c>
      <c r="P38" t="s">
        <v>35</v>
      </c>
      <c r="Q38">
        <v>147.27955</v>
      </c>
      <c r="T38">
        <f>+estDD!C66</f>
        <v>2015</v>
      </c>
      <c r="U38">
        <f>+estDD!D66</f>
        <v>0</v>
      </c>
      <c r="V38" t="str">
        <f>+estDD!E66</f>
        <v>Maroc</v>
      </c>
      <c r="X38" s="9">
        <v>1982</v>
      </c>
      <c r="Y38" s="10"/>
      <c r="Z38" s="10">
        <v>10198.085999999999</v>
      </c>
      <c r="AA38" s="10">
        <v>10198.085999999999</v>
      </c>
    </row>
    <row r="39" spans="1:27" x14ac:dyDescent="0.25">
      <c r="A39">
        <v>1985</v>
      </c>
      <c r="B39">
        <v>15293.963900000001</v>
      </c>
      <c r="E39">
        <v>1985</v>
      </c>
      <c r="G39">
        <v>15293.963900000001</v>
      </c>
      <c r="I39">
        <f t="shared" si="1"/>
        <v>15293.963900000001</v>
      </c>
      <c r="J39" s="4">
        <f t="shared" si="0"/>
        <v>0</v>
      </c>
      <c r="M39">
        <v>2016</v>
      </c>
      <c r="N39" t="s">
        <v>6</v>
      </c>
      <c r="O39" t="s">
        <v>58</v>
      </c>
      <c r="P39" t="s">
        <v>35</v>
      </c>
      <c r="Q39">
        <v>175.75011000000001</v>
      </c>
      <c r="T39">
        <f>+estDD!C67</f>
        <v>2016</v>
      </c>
      <c r="U39">
        <f>+estDD!D67</f>
        <v>0</v>
      </c>
      <c r="V39" t="str">
        <f>+estDD!E67</f>
        <v>Maroc</v>
      </c>
      <c r="X39" s="9">
        <v>1983</v>
      </c>
      <c r="Y39" s="10"/>
      <c r="Z39" s="10">
        <v>10696.376</v>
      </c>
      <c r="AA39" s="10">
        <v>10696.376</v>
      </c>
    </row>
    <row r="40" spans="1:27" x14ac:dyDescent="0.25">
      <c r="A40">
        <v>1986</v>
      </c>
      <c r="B40">
        <v>16764.86</v>
      </c>
      <c r="E40">
        <v>1986</v>
      </c>
      <c r="G40">
        <v>16764.86</v>
      </c>
      <c r="I40">
        <f t="shared" si="1"/>
        <v>16764.86</v>
      </c>
      <c r="J40" s="4">
        <f t="shared" si="0"/>
        <v>0</v>
      </c>
      <c r="M40">
        <v>2017</v>
      </c>
      <c r="N40" t="s">
        <v>6</v>
      </c>
      <c r="O40" t="s">
        <v>58</v>
      </c>
      <c r="P40" t="s">
        <v>35</v>
      </c>
      <c r="Q40">
        <v>205.26372000000001</v>
      </c>
      <c r="T40">
        <f>+estDD!C68</f>
        <v>2017</v>
      </c>
      <c r="U40">
        <f>+estDD!D68</f>
        <v>0</v>
      </c>
      <c r="V40" t="str">
        <f>+estDD!E68</f>
        <v>Maroc</v>
      </c>
      <c r="X40" s="9">
        <v>1984</v>
      </c>
      <c r="Y40" s="10"/>
      <c r="Z40" s="10">
        <v>13665.576899999998</v>
      </c>
      <c r="AA40" s="10">
        <v>13665.576899999998</v>
      </c>
    </row>
    <row r="41" spans="1:27" x14ac:dyDescent="0.25">
      <c r="A41">
        <v>1987</v>
      </c>
      <c r="B41">
        <v>18319.978999999999</v>
      </c>
      <c r="E41">
        <v>1987</v>
      </c>
      <c r="G41">
        <v>18319.978999999999</v>
      </c>
      <c r="I41">
        <f t="shared" si="1"/>
        <v>18319.978999999999</v>
      </c>
      <c r="J41" s="4">
        <f t="shared" si="0"/>
        <v>0</v>
      </c>
      <c r="M41">
        <v>2018</v>
      </c>
      <c r="N41" t="s">
        <v>6</v>
      </c>
      <c r="O41" t="s">
        <v>58</v>
      </c>
      <c r="P41" t="s">
        <v>35</v>
      </c>
      <c r="Q41">
        <v>197.05316999999999</v>
      </c>
      <c r="T41">
        <f>+estDD!C69</f>
        <v>2018</v>
      </c>
      <c r="U41">
        <f>+estDD!D69</f>
        <v>0</v>
      </c>
      <c r="V41" t="str">
        <f>+estDD!E69</f>
        <v>Maroc</v>
      </c>
      <c r="X41" s="9">
        <v>1985</v>
      </c>
      <c r="Y41" s="10"/>
      <c r="Z41" s="10">
        <v>15293.963900000001</v>
      </c>
      <c r="AA41" s="10">
        <v>15293.963900000001</v>
      </c>
    </row>
    <row r="42" spans="1:27" x14ac:dyDescent="0.25">
      <c r="A42">
        <v>1988</v>
      </c>
      <c r="B42">
        <v>20365.376100000001</v>
      </c>
      <c r="E42">
        <v>1988</v>
      </c>
      <c r="G42">
        <v>20365.376099999998</v>
      </c>
      <c r="I42">
        <f t="shared" si="1"/>
        <v>20365.376099999998</v>
      </c>
      <c r="J42" s="4">
        <f t="shared" si="0"/>
        <v>0</v>
      </c>
      <c r="M42">
        <v>2020</v>
      </c>
      <c r="N42" t="s">
        <v>6</v>
      </c>
      <c r="O42" t="s">
        <v>58</v>
      </c>
      <c r="P42" t="s">
        <v>35</v>
      </c>
      <c r="Q42">
        <v>0</v>
      </c>
      <c r="R42">
        <v>1</v>
      </c>
      <c r="T42">
        <f>+estDD!C70</f>
        <v>2019</v>
      </c>
      <c r="U42">
        <f>+estDD!D70</f>
        <v>406.34369654843982</v>
      </c>
      <c r="V42" t="str">
        <f>+estDD!E70</f>
        <v>Maroc</v>
      </c>
      <c r="X42" s="9">
        <v>1986</v>
      </c>
      <c r="Y42" s="10"/>
      <c r="Z42" s="10">
        <v>16764.86</v>
      </c>
      <c r="AA42" s="10">
        <v>16764.86</v>
      </c>
    </row>
    <row r="43" spans="1:27" x14ac:dyDescent="0.25">
      <c r="A43">
        <v>1989</v>
      </c>
      <c r="B43">
        <v>17761.891</v>
      </c>
      <c r="E43">
        <v>1989</v>
      </c>
      <c r="G43">
        <v>17761.891</v>
      </c>
      <c r="I43">
        <f t="shared" si="1"/>
        <v>17761.891</v>
      </c>
      <c r="J43" s="4">
        <f t="shared" si="0"/>
        <v>0</v>
      </c>
      <c r="M43">
        <v>2011</v>
      </c>
      <c r="N43" t="s">
        <v>38</v>
      </c>
      <c r="O43" t="s">
        <v>58</v>
      </c>
      <c r="P43" t="s">
        <v>35</v>
      </c>
      <c r="Q43">
        <v>0</v>
      </c>
      <c r="T43">
        <f>+estDD!C71</f>
        <v>2020</v>
      </c>
      <c r="U43">
        <f>+estDD!D71</f>
        <v>393.41198401397418</v>
      </c>
      <c r="V43" t="str">
        <f>+estDD!E71</f>
        <v>Maroc</v>
      </c>
      <c r="X43" s="9">
        <v>1987</v>
      </c>
      <c r="Y43" s="10"/>
      <c r="Z43" s="10">
        <v>18319.978999999999</v>
      </c>
      <c r="AA43" s="10">
        <v>18319.978999999999</v>
      </c>
    </row>
    <row r="44" spans="1:27" x14ac:dyDescent="0.25">
      <c r="A44">
        <v>1990</v>
      </c>
      <c r="B44">
        <v>16017.504000000001</v>
      </c>
      <c r="E44">
        <v>1990</v>
      </c>
      <c r="G44">
        <v>16017.504000000001</v>
      </c>
      <c r="I44">
        <f t="shared" si="1"/>
        <v>16017.504000000001</v>
      </c>
      <c r="J44" s="4">
        <f t="shared" si="0"/>
        <v>0</v>
      </c>
      <c r="M44">
        <v>2012</v>
      </c>
      <c r="N44" t="s">
        <v>38</v>
      </c>
      <c r="O44" t="s">
        <v>58</v>
      </c>
      <c r="P44" t="s">
        <v>35</v>
      </c>
      <c r="Q44">
        <v>0</v>
      </c>
      <c r="T44">
        <f>+estDD!C72</f>
        <v>2021</v>
      </c>
      <c r="U44">
        <f>+estDD!D72</f>
        <v>382.32529508487369</v>
      </c>
      <c r="V44" t="str">
        <f>+estDD!E72</f>
        <v>Maroc</v>
      </c>
      <c r="X44" s="9">
        <v>1988</v>
      </c>
      <c r="Y44" s="10"/>
      <c r="Z44" s="10">
        <v>20365.376099999998</v>
      </c>
      <c r="AA44" s="10">
        <v>20365.376099999998</v>
      </c>
    </row>
    <row r="45" spans="1:27" x14ac:dyDescent="0.25">
      <c r="A45">
        <v>1991</v>
      </c>
      <c r="B45">
        <v>15746.277099999999</v>
      </c>
      <c r="E45">
        <v>1991</v>
      </c>
      <c r="G45">
        <v>15746.277100000001</v>
      </c>
      <c r="I45">
        <f t="shared" si="1"/>
        <v>15746.277100000001</v>
      </c>
      <c r="J45" s="4">
        <f t="shared" si="0"/>
        <v>0</v>
      </c>
      <c r="M45">
        <v>2013</v>
      </c>
      <c r="N45" t="s">
        <v>38</v>
      </c>
      <c r="O45" t="s">
        <v>58</v>
      </c>
      <c r="P45" t="s">
        <v>35</v>
      </c>
      <c r="Q45">
        <v>0</v>
      </c>
      <c r="T45">
        <f>+estDD!C73</f>
        <v>2022</v>
      </c>
      <c r="U45">
        <f>+estDD!D73</f>
        <v>368.53312311113461</v>
      </c>
      <c r="V45" t="str">
        <f>+estDD!E73</f>
        <v>Maroc</v>
      </c>
      <c r="X45" s="9">
        <v>1989</v>
      </c>
      <c r="Y45" s="10"/>
      <c r="Z45" s="10">
        <v>17761.891</v>
      </c>
      <c r="AA45" s="10">
        <v>17761.891</v>
      </c>
    </row>
    <row r="46" spans="1:27" x14ac:dyDescent="0.25">
      <c r="A46">
        <v>1992</v>
      </c>
      <c r="B46">
        <v>14709.419</v>
      </c>
      <c r="E46">
        <v>1992</v>
      </c>
      <c r="G46">
        <v>14709.419</v>
      </c>
      <c r="I46">
        <f t="shared" si="1"/>
        <v>14709.419</v>
      </c>
      <c r="J46" s="4">
        <f t="shared" si="0"/>
        <v>0</v>
      </c>
      <c r="M46">
        <v>2014</v>
      </c>
      <c r="N46" t="s">
        <v>38</v>
      </c>
      <c r="O46" t="s">
        <v>58</v>
      </c>
      <c r="P46" t="s">
        <v>35</v>
      </c>
      <c r="Q46">
        <v>0</v>
      </c>
      <c r="T46">
        <f>+estDD!C74</f>
        <v>2023</v>
      </c>
      <c r="U46">
        <f>+estDD!D74</f>
        <v>370.85388150263657</v>
      </c>
      <c r="V46" t="str">
        <f>+estDD!E74</f>
        <v>Maroc</v>
      </c>
      <c r="X46" s="9">
        <v>1990</v>
      </c>
      <c r="Y46" s="10"/>
      <c r="Z46" s="10">
        <v>16017.504000000001</v>
      </c>
      <c r="AA46" s="10">
        <v>16017.504000000001</v>
      </c>
    </row>
    <row r="47" spans="1:27" x14ac:dyDescent="0.25">
      <c r="A47">
        <v>1993</v>
      </c>
      <c r="B47">
        <v>13264.866</v>
      </c>
      <c r="E47">
        <v>1993</v>
      </c>
      <c r="G47">
        <v>13264.866</v>
      </c>
      <c r="I47">
        <f t="shared" si="1"/>
        <v>13264.866</v>
      </c>
      <c r="J47" s="4">
        <f t="shared" si="0"/>
        <v>0</v>
      </c>
      <c r="M47">
        <v>2016</v>
      </c>
      <c r="N47" t="s">
        <v>38</v>
      </c>
      <c r="O47" t="s">
        <v>58</v>
      </c>
      <c r="P47" t="s">
        <v>35</v>
      </c>
      <c r="Q47">
        <v>0</v>
      </c>
      <c r="T47">
        <f>+estDD!C75</f>
        <v>2024</v>
      </c>
      <c r="U47">
        <f>+estDD!D75</f>
        <v>370.85388150263657</v>
      </c>
      <c r="V47" t="str">
        <f>+estDD!E75</f>
        <v>Maroc</v>
      </c>
      <c r="X47" s="9">
        <v>1991</v>
      </c>
      <c r="Y47" s="10"/>
      <c r="Z47" s="10">
        <v>15746.277100000001</v>
      </c>
      <c r="AA47" s="10">
        <v>15746.277100000001</v>
      </c>
    </row>
    <row r="48" spans="1:27" x14ac:dyDescent="0.25">
      <c r="A48">
        <v>1994</v>
      </c>
      <c r="B48">
        <v>16082.214</v>
      </c>
      <c r="E48">
        <v>1994</v>
      </c>
      <c r="G48">
        <v>16082.214</v>
      </c>
      <c r="I48">
        <f t="shared" si="1"/>
        <v>16082.214</v>
      </c>
      <c r="J48" s="4">
        <f t="shared" si="0"/>
        <v>0</v>
      </c>
      <c r="M48">
        <v>2017</v>
      </c>
      <c r="N48" t="s">
        <v>38</v>
      </c>
      <c r="O48" t="s">
        <v>58</v>
      </c>
      <c r="P48" t="s">
        <v>35</v>
      </c>
      <c r="Q48">
        <v>0</v>
      </c>
      <c r="T48">
        <f>+estDD!C76</f>
        <v>2014</v>
      </c>
      <c r="U48">
        <f>+estDD!D76</f>
        <v>0</v>
      </c>
      <c r="V48" t="str">
        <f>+estDD!E76</f>
        <v>Tunisie</v>
      </c>
      <c r="X48" s="9">
        <v>1992</v>
      </c>
      <c r="Y48" s="10"/>
      <c r="Z48" s="10">
        <v>14709.419</v>
      </c>
      <c r="AA48" s="10">
        <v>14709.419</v>
      </c>
    </row>
    <row r="49" spans="1:27" x14ac:dyDescent="0.25">
      <c r="A49">
        <v>1995</v>
      </c>
      <c r="B49">
        <v>13015.475</v>
      </c>
      <c r="E49">
        <v>1995</v>
      </c>
      <c r="G49">
        <v>13015.475</v>
      </c>
      <c r="I49">
        <f t="shared" si="1"/>
        <v>13015.475</v>
      </c>
      <c r="J49" s="4">
        <f t="shared" si="0"/>
        <v>0</v>
      </c>
      <c r="M49">
        <v>2018</v>
      </c>
      <c r="N49" t="s">
        <v>38</v>
      </c>
      <c r="O49" t="s">
        <v>58</v>
      </c>
      <c r="P49" t="s">
        <v>35</v>
      </c>
      <c r="Q49">
        <v>0</v>
      </c>
      <c r="T49">
        <f>+estDD!C77</f>
        <v>2015</v>
      </c>
      <c r="U49">
        <f>+estDD!D77</f>
        <v>0</v>
      </c>
      <c r="V49" t="str">
        <f>+estDD!E77</f>
        <v>Tunisie</v>
      </c>
      <c r="X49" s="9">
        <v>1993</v>
      </c>
      <c r="Y49" s="10"/>
      <c r="Z49" s="10">
        <v>13264.866</v>
      </c>
      <c r="AA49" s="10">
        <v>13264.866</v>
      </c>
    </row>
    <row r="50" spans="1:27" x14ac:dyDescent="0.25">
      <c r="A50">
        <v>1996</v>
      </c>
      <c r="B50">
        <v>12052.811</v>
      </c>
      <c r="E50">
        <v>1996</v>
      </c>
      <c r="G50">
        <v>12052.811</v>
      </c>
      <c r="I50">
        <f t="shared" si="1"/>
        <v>12052.811</v>
      </c>
      <c r="J50" s="4">
        <f t="shared" si="0"/>
        <v>0</v>
      </c>
      <c r="M50">
        <v>2019</v>
      </c>
      <c r="N50" t="s">
        <v>38</v>
      </c>
      <c r="O50" t="s">
        <v>58</v>
      </c>
      <c r="P50" t="s">
        <v>35</v>
      </c>
      <c r="Q50">
        <v>0</v>
      </c>
      <c r="T50">
        <f>+estDD!C78</f>
        <v>2016</v>
      </c>
      <c r="U50">
        <f>+estDD!D78</f>
        <v>0</v>
      </c>
      <c r="V50" t="str">
        <f>+estDD!E78</f>
        <v>Tunisie</v>
      </c>
      <c r="X50" s="9">
        <v>1994</v>
      </c>
      <c r="Y50" s="10"/>
      <c r="Z50" s="10">
        <v>16082.214</v>
      </c>
      <c r="AA50" s="10">
        <v>16082.214</v>
      </c>
    </row>
    <row r="51" spans="1:27" x14ac:dyDescent="0.25">
      <c r="A51">
        <v>1997</v>
      </c>
      <c r="B51">
        <v>14693.346</v>
      </c>
      <c r="E51">
        <v>1997</v>
      </c>
      <c r="G51">
        <v>14693.346</v>
      </c>
      <c r="I51">
        <f t="shared" si="1"/>
        <v>14693.346</v>
      </c>
      <c r="J51" s="4">
        <f t="shared" si="0"/>
        <v>0</v>
      </c>
      <c r="M51">
        <v>2020</v>
      </c>
      <c r="N51" t="s">
        <v>38</v>
      </c>
      <c r="O51" t="s">
        <v>58</v>
      </c>
      <c r="P51" t="s">
        <v>35</v>
      </c>
      <c r="Q51">
        <v>0</v>
      </c>
      <c r="T51">
        <f>+estDD!C79</f>
        <v>2017</v>
      </c>
      <c r="U51">
        <f>+estDD!D79</f>
        <v>0</v>
      </c>
      <c r="V51" t="str">
        <f>+estDD!E79</f>
        <v>Tunisie</v>
      </c>
      <c r="X51" s="9">
        <v>1995</v>
      </c>
      <c r="Y51" s="10"/>
      <c r="Z51" s="10">
        <v>13015.475</v>
      </c>
      <c r="AA51" s="10">
        <v>13015.475</v>
      </c>
    </row>
    <row r="52" spans="1:27" x14ac:dyDescent="0.25">
      <c r="A52">
        <v>1998</v>
      </c>
      <c r="B52">
        <v>14368.865</v>
      </c>
      <c r="E52">
        <v>1998</v>
      </c>
      <c r="G52">
        <v>14368.865</v>
      </c>
      <c r="I52">
        <f t="shared" si="1"/>
        <v>14368.865</v>
      </c>
      <c r="J52" s="4">
        <f t="shared" si="0"/>
        <v>0</v>
      </c>
      <c r="M52">
        <v>2021</v>
      </c>
      <c r="N52" t="s">
        <v>38</v>
      </c>
      <c r="O52" t="s">
        <v>58</v>
      </c>
      <c r="P52" t="s">
        <v>35</v>
      </c>
      <c r="Q52">
        <v>0</v>
      </c>
      <c r="T52">
        <f>+estDD!C80</f>
        <v>2018</v>
      </c>
      <c r="U52">
        <f>+estDD!D80</f>
        <v>0</v>
      </c>
      <c r="V52" t="str">
        <f>+estDD!E80</f>
        <v>Tunisie</v>
      </c>
      <c r="X52" s="9">
        <v>1996</v>
      </c>
      <c r="Y52" s="10"/>
      <c r="Z52" s="10">
        <v>12052.811</v>
      </c>
      <c r="AA52" s="10">
        <v>12052.811</v>
      </c>
    </row>
    <row r="53" spans="1:27" x14ac:dyDescent="0.25">
      <c r="A53">
        <v>1999</v>
      </c>
      <c r="B53">
        <v>13698.637000000001</v>
      </c>
      <c r="E53">
        <v>1999</v>
      </c>
      <c r="G53">
        <v>13698.637000000001</v>
      </c>
      <c r="I53">
        <f t="shared" si="1"/>
        <v>13698.637000000001</v>
      </c>
      <c r="J53" s="4">
        <f t="shared" si="0"/>
        <v>0</v>
      </c>
      <c r="M53">
        <v>2022</v>
      </c>
      <c r="N53" t="s">
        <v>38</v>
      </c>
      <c r="O53" t="s">
        <v>58</v>
      </c>
      <c r="P53" t="s">
        <v>35</v>
      </c>
      <c r="Q53">
        <v>0</v>
      </c>
      <c r="T53">
        <f>+estDD!C81</f>
        <v>2019</v>
      </c>
      <c r="U53">
        <f>+estDD!D81</f>
        <v>385.69008531409975</v>
      </c>
      <c r="V53" t="str">
        <f>+estDD!E81</f>
        <v>Tunisie</v>
      </c>
      <c r="X53" s="9">
        <v>1997</v>
      </c>
      <c r="Y53" s="10"/>
      <c r="Z53" s="10">
        <v>14693.346</v>
      </c>
      <c r="AA53" s="10">
        <v>14693.346</v>
      </c>
    </row>
    <row r="54" spans="1:27" x14ac:dyDescent="0.25">
      <c r="A54">
        <v>2000</v>
      </c>
      <c r="B54">
        <v>15568.785</v>
      </c>
      <c r="E54">
        <v>2000</v>
      </c>
      <c r="G54">
        <v>15568.784999999998</v>
      </c>
      <c r="I54">
        <f t="shared" si="1"/>
        <v>15568.784999999998</v>
      </c>
      <c r="J54" s="4">
        <f t="shared" si="0"/>
        <v>0</v>
      </c>
      <c r="M54">
        <v>2022</v>
      </c>
      <c r="N54" t="s">
        <v>13</v>
      </c>
      <c r="O54" t="s">
        <v>58</v>
      </c>
      <c r="P54" t="s">
        <v>35</v>
      </c>
      <c r="Q54">
        <v>0</v>
      </c>
      <c r="R54">
        <v>1</v>
      </c>
      <c r="T54">
        <f>+estDD!C82</f>
        <v>2020</v>
      </c>
      <c r="U54">
        <f>+estDD!D82</f>
        <v>379.04993909156144</v>
      </c>
      <c r="V54" t="str">
        <f>+estDD!E82</f>
        <v>Tunisie</v>
      </c>
      <c r="X54" s="9">
        <v>1998</v>
      </c>
      <c r="Y54" s="10"/>
      <c r="Z54" s="10">
        <v>14368.865</v>
      </c>
      <c r="AA54" s="10">
        <v>14368.865</v>
      </c>
    </row>
    <row r="55" spans="1:27" x14ac:dyDescent="0.25">
      <c r="A55">
        <v>2001</v>
      </c>
      <c r="B55">
        <v>15006.066999999999</v>
      </c>
      <c r="E55">
        <v>2001</v>
      </c>
      <c r="G55">
        <v>15006.067000000001</v>
      </c>
      <c r="I55">
        <f t="shared" si="1"/>
        <v>15006.067000000001</v>
      </c>
      <c r="J55" s="4">
        <f t="shared" si="0"/>
        <v>0</v>
      </c>
      <c r="M55">
        <v>2024</v>
      </c>
      <c r="N55" t="s">
        <v>13</v>
      </c>
      <c r="O55" t="s">
        <v>58</v>
      </c>
      <c r="P55" t="s">
        <v>35</v>
      </c>
      <c r="Q55">
        <v>0</v>
      </c>
      <c r="R55">
        <v>1</v>
      </c>
      <c r="T55">
        <f>+estDD!C83</f>
        <v>2021</v>
      </c>
      <c r="U55">
        <f>+estDD!D83</f>
        <v>367.79307428892503</v>
      </c>
      <c r="V55" t="str">
        <f>+estDD!E83</f>
        <v>Tunisie</v>
      </c>
      <c r="X55" s="9">
        <v>1999</v>
      </c>
      <c r="Y55" s="10"/>
      <c r="Z55" s="10">
        <v>13698.637000000001</v>
      </c>
      <c r="AA55" s="10">
        <v>13698.637000000001</v>
      </c>
    </row>
    <row r="56" spans="1:27" x14ac:dyDescent="0.25">
      <c r="A56">
        <v>2002</v>
      </c>
      <c r="B56">
        <v>12814.036</v>
      </c>
      <c r="E56">
        <v>2002</v>
      </c>
      <c r="G56">
        <v>12814.036</v>
      </c>
      <c r="I56">
        <f t="shared" si="1"/>
        <v>12814.036</v>
      </c>
      <c r="J56" s="4">
        <f t="shared" si="0"/>
        <v>0</v>
      </c>
      <c r="M56">
        <v>2020</v>
      </c>
      <c r="N56" t="s">
        <v>12</v>
      </c>
      <c r="O56" t="s">
        <v>58</v>
      </c>
      <c r="P56" t="s">
        <v>35</v>
      </c>
      <c r="Q56">
        <v>2.5999999999999999E-2</v>
      </c>
      <c r="R56">
        <v>1</v>
      </c>
      <c r="T56">
        <f>+estDD!C84</f>
        <v>2022</v>
      </c>
      <c r="U56">
        <f>+estDD!D84</f>
        <v>353.98710360123101</v>
      </c>
      <c r="V56" t="str">
        <f>+estDD!E84</f>
        <v>Tunisie</v>
      </c>
      <c r="X56" s="9">
        <v>2000</v>
      </c>
      <c r="Y56" s="10"/>
      <c r="Z56" s="10">
        <v>15568.784999999998</v>
      </c>
      <c r="AA56" s="10">
        <v>15568.784999999998</v>
      </c>
    </row>
    <row r="57" spans="1:27" x14ac:dyDescent="0.25">
      <c r="A57">
        <v>2003</v>
      </c>
      <c r="B57">
        <v>15693.589</v>
      </c>
      <c r="E57">
        <v>2003</v>
      </c>
      <c r="G57">
        <v>15693.588999999998</v>
      </c>
      <c r="I57">
        <f t="shared" si="1"/>
        <v>15693.588999999998</v>
      </c>
      <c r="J57" s="4">
        <f t="shared" si="0"/>
        <v>0</v>
      </c>
      <c r="M57">
        <v>2021</v>
      </c>
      <c r="N57" t="s">
        <v>12</v>
      </c>
      <c r="O57" t="s">
        <v>58</v>
      </c>
      <c r="P57" t="s">
        <v>35</v>
      </c>
      <c r="Q57">
        <v>8.9999999999999993E-3</v>
      </c>
      <c r="R57">
        <v>1</v>
      </c>
      <c r="T57">
        <f>+estDD!C85</f>
        <v>2023</v>
      </c>
      <c r="U57">
        <f>+estDD!D85</f>
        <v>302.77951824848981</v>
      </c>
      <c r="V57" t="str">
        <f>+estDD!E85</f>
        <v>Tunisie</v>
      </c>
      <c r="X57" s="9">
        <v>2001</v>
      </c>
      <c r="Y57" s="10"/>
      <c r="Z57" s="10">
        <v>15006.067000000001</v>
      </c>
      <c r="AA57" s="10">
        <v>15006.067000000001</v>
      </c>
    </row>
    <row r="58" spans="1:27" x14ac:dyDescent="0.25">
      <c r="A58">
        <v>2004</v>
      </c>
      <c r="B58">
        <v>14404.921</v>
      </c>
      <c r="E58">
        <v>2004</v>
      </c>
      <c r="F58">
        <v>8.85</v>
      </c>
      <c r="G58">
        <v>14396.071000000002</v>
      </c>
      <c r="I58">
        <f t="shared" si="1"/>
        <v>14404.921000000002</v>
      </c>
      <c r="J58" s="4">
        <f t="shared" si="0"/>
        <v>0</v>
      </c>
      <c r="M58">
        <v>2022</v>
      </c>
      <c r="N58" t="s">
        <v>12</v>
      </c>
      <c r="O58" t="s">
        <v>58</v>
      </c>
      <c r="P58" t="s">
        <v>35</v>
      </c>
      <c r="Q58">
        <v>0.221</v>
      </c>
      <c r="R58">
        <v>1</v>
      </c>
      <c r="T58">
        <f>+estDD!C86</f>
        <v>2024</v>
      </c>
      <c r="U58">
        <f>+estDD!D86</f>
        <v>329.74244314284323</v>
      </c>
      <c r="V58" t="str">
        <f>+estDD!E86</f>
        <v>Tunisie</v>
      </c>
      <c r="X58" s="9">
        <v>2002</v>
      </c>
      <c r="Y58" s="10"/>
      <c r="Z58" s="10">
        <v>12814.036</v>
      </c>
      <c r="AA58" s="10">
        <v>12814.036</v>
      </c>
    </row>
    <row r="59" spans="1:27" x14ac:dyDescent="0.25">
      <c r="A59">
        <v>2005</v>
      </c>
      <c r="B59">
        <v>14621.904</v>
      </c>
      <c r="E59">
        <v>2005</v>
      </c>
      <c r="F59">
        <v>113.07299999999999</v>
      </c>
      <c r="G59">
        <v>14508.831000000002</v>
      </c>
      <c r="I59">
        <f t="shared" si="1"/>
        <v>14621.904000000002</v>
      </c>
      <c r="J59" s="4">
        <f t="shared" si="0"/>
        <v>0</v>
      </c>
      <c r="M59">
        <v>2023</v>
      </c>
      <c r="N59" t="s">
        <v>12</v>
      </c>
      <c r="O59" t="s">
        <v>58</v>
      </c>
      <c r="P59" t="s">
        <v>35</v>
      </c>
      <c r="Q59">
        <v>1.2509999999999999</v>
      </c>
      <c r="R59">
        <v>1</v>
      </c>
      <c r="T59">
        <f>+estDD!C87</f>
        <v>2014</v>
      </c>
      <c r="U59">
        <f>+estDD!D87</f>
        <v>0</v>
      </c>
      <c r="V59" t="str">
        <f>+estDD!E87</f>
        <v>Algerie</v>
      </c>
      <c r="X59" s="9">
        <v>2003</v>
      </c>
      <c r="Y59" s="10"/>
      <c r="Z59" s="10">
        <v>15693.588999999998</v>
      </c>
      <c r="AA59" s="10">
        <v>15693.588999999998</v>
      </c>
    </row>
    <row r="60" spans="1:27" x14ac:dyDescent="0.25">
      <c r="A60">
        <v>2006</v>
      </c>
      <c r="B60">
        <v>14915.465</v>
      </c>
      <c r="E60">
        <v>2006</v>
      </c>
      <c r="F60">
        <v>15.57</v>
      </c>
      <c r="G60">
        <v>14899.895</v>
      </c>
      <c r="I60">
        <f t="shared" si="1"/>
        <v>14915.465</v>
      </c>
      <c r="J60" s="4">
        <f t="shared" si="0"/>
        <v>0</v>
      </c>
      <c r="M60">
        <v>2024</v>
      </c>
      <c r="N60" t="s">
        <v>12</v>
      </c>
      <c r="O60" t="s">
        <v>58</v>
      </c>
      <c r="P60" t="s">
        <v>35</v>
      </c>
      <c r="Q60">
        <v>0.55400000000000005</v>
      </c>
      <c r="R60">
        <v>1</v>
      </c>
      <c r="T60">
        <f>+estDD!C88</f>
        <v>2015</v>
      </c>
      <c r="U60">
        <f>+estDD!D88</f>
        <v>0</v>
      </c>
      <c r="V60" t="str">
        <f>+estDD!E88</f>
        <v>Algerie</v>
      </c>
      <c r="X60" s="9">
        <v>2004</v>
      </c>
      <c r="Y60" s="10">
        <v>8.85</v>
      </c>
      <c r="Z60" s="10">
        <v>14396.071000000002</v>
      </c>
      <c r="AA60" s="10">
        <v>14404.921000000002</v>
      </c>
    </row>
    <row r="61" spans="1:27" x14ac:dyDescent="0.25">
      <c r="A61">
        <v>2007</v>
      </c>
      <c r="B61">
        <v>14226.83855</v>
      </c>
      <c r="E61">
        <v>2007</v>
      </c>
      <c r="F61">
        <v>19.45</v>
      </c>
      <c r="G61">
        <v>14207.38855</v>
      </c>
      <c r="I61">
        <f t="shared" si="1"/>
        <v>14226.83855</v>
      </c>
      <c r="J61" s="4">
        <f t="shared" si="0"/>
        <v>0</v>
      </c>
      <c r="M61">
        <v>2011</v>
      </c>
      <c r="N61" t="s">
        <v>9</v>
      </c>
      <c r="O61" t="s">
        <v>58</v>
      </c>
      <c r="P61" t="s">
        <v>35</v>
      </c>
      <c r="Q61">
        <v>0</v>
      </c>
      <c r="T61">
        <f>+estDD!C89</f>
        <v>2016</v>
      </c>
      <c r="U61">
        <f>+estDD!D89</f>
        <v>0</v>
      </c>
      <c r="V61" t="str">
        <f>+estDD!E89</f>
        <v>Algerie</v>
      </c>
      <c r="X61" s="9">
        <v>2005</v>
      </c>
      <c r="Y61" s="10">
        <v>113.07299999999999</v>
      </c>
      <c r="Z61" s="10">
        <v>14508.831000000002</v>
      </c>
      <c r="AA61" s="10">
        <v>14621.904000000002</v>
      </c>
    </row>
    <row r="62" spans="1:27" x14ac:dyDescent="0.25">
      <c r="A62">
        <v>2008</v>
      </c>
      <c r="B62">
        <v>13683.18274</v>
      </c>
      <c r="E62">
        <v>2008</v>
      </c>
      <c r="F62">
        <v>1546.4787799999999</v>
      </c>
      <c r="G62">
        <v>12136.703960000003</v>
      </c>
      <c r="I62">
        <f t="shared" si="1"/>
        <v>13683.182740000002</v>
      </c>
      <c r="J62" s="4">
        <f t="shared" si="0"/>
        <v>0</v>
      </c>
      <c r="M62">
        <v>2013</v>
      </c>
      <c r="N62" t="s">
        <v>9</v>
      </c>
      <c r="O62" t="s">
        <v>58</v>
      </c>
      <c r="P62" t="s">
        <v>35</v>
      </c>
      <c r="Q62">
        <v>0</v>
      </c>
      <c r="T62">
        <f>+estDD!C90</f>
        <v>2017</v>
      </c>
      <c r="U62">
        <f>+estDD!D90</f>
        <v>0</v>
      </c>
      <c r="V62" t="str">
        <f>+estDD!E90</f>
        <v>Algerie</v>
      </c>
      <c r="X62" s="9">
        <v>2006</v>
      </c>
      <c r="Y62" s="10">
        <v>15.57</v>
      </c>
      <c r="Z62" s="10">
        <v>14899.895</v>
      </c>
      <c r="AA62" s="10">
        <v>14915.465</v>
      </c>
    </row>
    <row r="63" spans="1:27" x14ac:dyDescent="0.25">
      <c r="A63">
        <v>2009</v>
      </c>
      <c r="B63">
        <v>13235.238689</v>
      </c>
      <c r="E63">
        <v>2009</v>
      </c>
      <c r="F63">
        <v>1395.7217999999998</v>
      </c>
      <c r="G63">
        <v>11839.516888999999</v>
      </c>
      <c r="I63">
        <f t="shared" si="1"/>
        <v>13235.238688999998</v>
      </c>
      <c r="J63" s="4">
        <f t="shared" si="0"/>
        <v>0</v>
      </c>
      <c r="M63">
        <v>2020</v>
      </c>
      <c r="N63" t="s">
        <v>9</v>
      </c>
      <c r="O63" t="s">
        <v>58</v>
      </c>
      <c r="P63" t="s">
        <v>35</v>
      </c>
      <c r="Q63">
        <v>0.35099999999999998</v>
      </c>
      <c r="R63">
        <v>1</v>
      </c>
      <c r="T63">
        <f>+estDD!C91</f>
        <v>2018</v>
      </c>
      <c r="U63">
        <f>+estDD!D91</f>
        <v>0</v>
      </c>
      <c r="V63" t="str">
        <f>+estDD!E91</f>
        <v>Algerie</v>
      </c>
      <c r="X63" s="9">
        <v>2007</v>
      </c>
      <c r="Y63" s="10">
        <v>19.45</v>
      </c>
      <c r="Z63" s="10">
        <v>14207.38855</v>
      </c>
      <c r="AA63" s="10">
        <v>14226.83855</v>
      </c>
    </row>
    <row r="64" spans="1:27" x14ac:dyDescent="0.25">
      <c r="A64">
        <v>2010</v>
      </c>
      <c r="B64">
        <v>14753.57969</v>
      </c>
      <c r="E64">
        <v>2010</v>
      </c>
      <c r="F64">
        <v>1488.46415</v>
      </c>
      <c r="G64">
        <v>13265.115540000001</v>
      </c>
      <c r="I64">
        <f t="shared" si="1"/>
        <v>14753.57969</v>
      </c>
      <c r="J64" s="4">
        <f t="shared" si="0"/>
        <v>0</v>
      </c>
      <c r="M64">
        <v>2022</v>
      </c>
      <c r="N64" t="s">
        <v>9</v>
      </c>
      <c r="O64" t="s">
        <v>58</v>
      </c>
      <c r="P64" t="s">
        <v>35</v>
      </c>
      <c r="Q64">
        <v>0.02</v>
      </c>
      <c r="R64">
        <v>1</v>
      </c>
      <c r="T64">
        <f>+estDD!C92</f>
        <v>2019</v>
      </c>
      <c r="U64">
        <f>+estDD!D92</f>
        <v>200.69259525240543</v>
      </c>
      <c r="V64" t="str">
        <f>+estDD!E92</f>
        <v>Algerie</v>
      </c>
      <c r="X64" s="9">
        <v>2008</v>
      </c>
      <c r="Y64" s="10">
        <v>1546.4787799999999</v>
      </c>
      <c r="Z64" s="10">
        <v>12136.703960000003</v>
      </c>
      <c r="AA64" s="10">
        <v>13683.182740000002</v>
      </c>
    </row>
    <row r="65" spans="1:27" x14ac:dyDescent="0.25">
      <c r="A65">
        <v>2011</v>
      </c>
      <c r="B65">
        <v>12640.349311</v>
      </c>
      <c r="E65">
        <v>2011</v>
      </c>
      <c r="F65">
        <v>1190.5953</v>
      </c>
      <c r="G65">
        <v>11449.754010999999</v>
      </c>
      <c r="I65">
        <f t="shared" si="1"/>
        <v>12640.349310999998</v>
      </c>
      <c r="J65" s="4">
        <f t="shared" si="0"/>
        <v>0</v>
      </c>
      <c r="M65">
        <v>2023</v>
      </c>
      <c r="N65" t="s">
        <v>9</v>
      </c>
      <c r="O65" t="s">
        <v>58</v>
      </c>
      <c r="P65" t="s">
        <v>35</v>
      </c>
      <c r="Q65">
        <v>0.23200000000000001</v>
      </c>
      <c r="R65">
        <v>1</v>
      </c>
      <c r="T65">
        <f>+estDD!C93</f>
        <v>2020</v>
      </c>
      <c r="U65">
        <f>+estDD!D93</f>
        <v>194.27806448760845</v>
      </c>
      <c r="V65" t="str">
        <f>+estDD!E93</f>
        <v>Algerie</v>
      </c>
      <c r="X65" s="9">
        <v>2009</v>
      </c>
      <c r="Y65" s="10">
        <v>1395.7217999999998</v>
      </c>
      <c r="Z65" s="10">
        <v>11839.516888999999</v>
      </c>
      <c r="AA65" s="10">
        <v>13235.238688999998</v>
      </c>
    </row>
    <row r="66" spans="1:27" x14ac:dyDescent="0.25">
      <c r="A66">
        <v>2012</v>
      </c>
      <c r="B66">
        <v>11045.685329</v>
      </c>
      <c r="E66">
        <v>2012</v>
      </c>
      <c r="F66">
        <v>1132.9350199999999</v>
      </c>
      <c r="G66">
        <v>9912.7503090000009</v>
      </c>
      <c r="I66">
        <f t="shared" si="1"/>
        <v>11045.685329</v>
      </c>
      <c r="J66" s="4">
        <f t="shared" si="0"/>
        <v>0</v>
      </c>
      <c r="M66">
        <v>2024</v>
      </c>
      <c r="N66" t="s">
        <v>9</v>
      </c>
      <c r="O66" t="s">
        <v>58</v>
      </c>
      <c r="P66" t="s">
        <v>35</v>
      </c>
      <c r="Q66">
        <v>0.38819999999999999</v>
      </c>
      <c r="R66">
        <v>1</v>
      </c>
      <c r="T66">
        <f>+estDD!C94</f>
        <v>2021</v>
      </c>
      <c r="U66">
        <f>+estDD!D94</f>
        <v>172.87044065346134</v>
      </c>
      <c r="V66" t="str">
        <f>+estDD!E94</f>
        <v>Algerie</v>
      </c>
      <c r="X66" s="9">
        <v>2010</v>
      </c>
      <c r="Y66" s="10">
        <v>1488.46415</v>
      </c>
      <c r="Z66" s="10">
        <v>13265.115540000001</v>
      </c>
      <c r="AA66" s="10">
        <v>14753.57969</v>
      </c>
    </row>
    <row r="67" spans="1:27" x14ac:dyDescent="0.25">
      <c r="A67">
        <v>2013</v>
      </c>
      <c r="B67">
        <v>10069.722689</v>
      </c>
      <c r="E67">
        <v>2013</v>
      </c>
      <c r="F67">
        <v>973.32001000000002</v>
      </c>
      <c r="G67">
        <v>9096.4026789999989</v>
      </c>
      <c r="I67">
        <f t="shared" si="1"/>
        <v>10069.722688999998</v>
      </c>
      <c r="J67" s="4">
        <f t="shared" si="0"/>
        <v>0</v>
      </c>
      <c r="M67">
        <v>2022</v>
      </c>
      <c r="N67" t="s">
        <v>11</v>
      </c>
      <c r="O67" t="s">
        <v>58</v>
      </c>
      <c r="P67" t="s">
        <v>35</v>
      </c>
      <c r="Q67">
        <v>0</v>
      </c>
      <c r="R67">
        <v>1</v>
      </c>
      <c r="T67">
        <f>+estDD!C95</f>
        <v>2022</v>
      </c>
      <c r="U67">
        <f>+estDD!D95</f>
        <v>182.96653977075033</v>
      </c>
      <c r="V67" t="str">
        <f>+estDD!E95</f>
        <v>Algerie</v>
      </c>
      <c r="X67" s="9">
        <v>2011</v>
      </c>
      <c r="Y67" s="10">
        <v>1190.5953</v>
      </c>
      <c r="Z67" s="10">
        <v>11449.754010999999</v>
      </c>
      <c r="AA67" s="10">
        <v>12640.349310999998</v>
      </c>
    </row>
    <row r="68" spans="1:27" x14ac:dyDescent="0.25">
      <c r="A68">
        <v>2014</v>
      </c>
      <c r="B68">
        <v>11187.634559702999</v>
      </c>
      <c r="E68">
        <v>2014</v>
      </c>
      <c r="F68">
        <v>1168.24496</v>
      </c>
      <c r="G68">
        <v>9800.7024699999965</v>
      </c>
      <c r="H68">
        <v>218.68712969553877</v>
      </c>
      <c r="I68">
        <f t="shared" si="1"/>
        <v>11187.634559695536</v>
      </c>
      <c r="J68" s="4">
        <f>+IF(B68=I68,0,B68-I68)</f>
        <v>7.4633135227486491E-9</v>
      </c>
      <c r="M68">
        <v>2023</v>
      </c>
      <c r="N68" t="s">
        <v>11</v>
      </c>
      <c r="O68" t="s">
        <v>58</v>
      </c>
      <c r="P68" t="s">
        <v>35</v>
      </c>
      <c r="Q68">
        <v>0</v>
      </c>
      <c r="R68">
        <v>1</v>
      </c>
      <c r="T68">
        <f>+estDD!C96</f>
        <v>2023</v>
      </c>
      <c r="U68">
        <f>+estDD!D96</f>
        <v>182.95374173476253</v>
      </c>
      <c r="V68" t="str">
        <f>+estDD!E96</f>
        <v>Algerie</v>
      </c>
      <c r="X68" s="9">
        <v>2012</v>
      </c>
      <c r="Y68" s="10">
        <v>1132.9350199999999</v>
      </c>
      <c r="Z68" s="10">
        <v>9912.7503090000009</v>
      </c>
      <c r="AA68" s="10">
        <v>11045.685329</v>
      </c>
    </row>
    <row r="69" spans="1:27" x14ac:dyDescent="0.25">
      <c r="A69">
        <v>2015</v>
      </c>
      <c r="B69">
        <v>12248.395296621</v>
      </c>
      <c r="E69">
        <v>2015</v>
      </c>
      <c r="F69">
        <v>1223.3322800000001</v>
      </c>
      <c r="G69">
        <v>10753.084395999998</v>
      </c>
      <c r="H69">
        <v>271.97862061645299</v>
      </c>
      <c r="I69">
        <f t="shared" ref="I69:I78" si="2">+SUM(F69:H69)</f>
        <v>12248.395296616452</v>
      </c>
      <c r="J69" s="4">
        <f t="shared" ref="J69:J78" si="3">+IF(B69=I69,0,B69-I69)</f>
        <v>4.5474735088646412E-9</v>
      </c>
      <c r="M69">
        <v>2024</v>
      </c>
      <c r="N69" t="s">
        <v>11</v>
      </c>
      <c r="O69" t="s">
        <v>58</v>
      </c>
      <c r="P69" t="s">
        <v>35</v>
      </c>
      <c r="Q69">
        <v>8.7999999999999995E-2</v>
      </c>
      <c r="R69">
        <v>1</v>
      </c>
      <c r="T69">
        <f>+estDD!C97</f>
        <v>2024</v>
      </c>
      <c r="U69">
        <f>+estDD!D97</f>
        <v>183.16704233455928</v>
      </c>
      <c r="V69" t="str">
        <f>+estDD!E97</f>
        <v>Algerie</v>
      </c>
      <c r="X69" s="9">
        <v>2013</v>
      </c>
      <c r="Y69" s="10">
        <v>973.32001000000002</v>
      </c>
      <c r="Z69" s="10">
        <v>9096.4026789999989</v>
      </c>
      <c r="AA69" s="10">
        <v>10069.722688999998</v>
      </c>
    </row>
    <row r="70" spans="1:27" x14ac:dyDescent="0.25">
      <c r="A70">
        <v>2016</v>
      </c>
      <c r="B70">
        <v>12587.471789657</v>
      </c>
      <c r="E70">
        <v>2016</v>
      </c>
      <c r="F70">
        <v>1369.2935500000001</v>
      </c>
      <c r="G70">
        <v>10930.819469999999</v>
      </c>
      <c r="H70">
        <v>287.35876966352117</v>
      </c>
      <c r="I70">
        <f t="shared" si="2"/>
        <v>12587.471789663519</v>
      </c>
      <c r="J70" s="4">
        <f t="shared" si="3"/>
        <v>-6.5192580223083496E-9</v>
      </c>
      <c r="M70">
        <v>2004</v>
      </c>
      <c r="N70" t="s">
        <v>3</v>
      </c>
      <c r="O70" t="s">
        <v>58</v>
      </c>
      <c r="P70" t="s">
        <v>35</v>
      </c>
      <c r="Q70">
        <v>8.85</v>
      </c>
      <c r="T70">
        <f>+estDD!C98</f>
        <v>2014</v>
      </c>
      <c r="U70">
        <f>+estDD!D98</f>
        <v>43.409076827696147</v>
      </c>
      <c r="V70" t="str">
        <f>+estDD!E98</f>
        <v>EU-Malta</v>
      </c>
      <c r="X70" s="9">
        <v>2014</v>
      </c>
      <c r="Y70" s="10">
        <v>1168.24496</v>
      </c>
      <c r="Z70" s="10">
        <v>9800.7024699999965</v>
      </c>
      <c r="AA70" s="10">
        <v>10968.947429999997</v>
      </c>
    </row>
    <row r="71" spans="1:27" x14ac:dyDescent="0.25">
      <c r="A71">
        <v>2017</v>
      </c>
      <c r="B71">
        <v>10832.916212365</v>
      </c>
      <c r="E71">
        <v>2017</v>
      </c>
      <c r="F71">
        <v>1988.36159</v>
      </c>
      <c r="G71">
        <v>8402.0882339999971</v>
      </c>
      <c r="H71">
        <v>442.46638840108801</v>
      </c>
      <c r="I71">
        <f t="shared" si="2"/>
        <v>10832.916212401085</v>
      </c>
      <c r="J71" s="4">
        <f t="shared" si="3"/>
        <v>-3.6085111787542701E-8</v>
      </c>
      <c r="M71">
        <v>2005</v>
      </c>
      <c r="N71" t="s">
        <v>3</v>
      </c>
      <c r="O71" t="s">
        <v>58</v>
      </c>
      <c r="P71" t="s">
        <v>35</v>
      </c>
      <c r="Q71">
        <v>113.07299999999999</v>
      </c>
      <c r="T71">
        <f>+estDD!C99</f>
        <v>2015</v>
      </c>
      <c r="U71">
        <f>+estDD!D99</f>
        <v>56.420346818199683</v>
      </c>
      <c r="V71" t="str">
        <f>+estDD!E99</f>
        <v>EU-Malta</v>
      </c>
      <c r="X71" s="9">
        <v>2015</v>
      </c>
      <c r="Y71" s="10">
        <v>1223.3322800000001</v>
      </c>
      <c r="Z71" s="10">
        <v>10753.084395999998</v>
      </c>
      <c r="AA71" s="10">
        <v>11976.416675999999</v>
      </c>
    </row>
    <row r="72" spans="1:27" x14ac:dyDescent="0.25">
      <c r="A72">
        <v>2018</v>
      </c>
      <c r="B72">
        <v>9025.2125371889997</v>
      </c>
      <c r="E72">
        <v>2018</v>
      </c>
      <c r="F72">
        <v>1598.30611</v>
      </c>
      <c r="G72">
        <v>6999.2401</v>
      </c>
      <c r="H72">
        <v>427.6663271970948</v>
      </c>
      <c r="I72">
        <f t="shared" si="2"/>
        <v>9025.212537197096</v>
      </c>
      <c r="J72" s="4">
        <f t="shared" si="3"/>
        <v>-8.0963218351826072E-9</v>
      </c>
      <c r="M72">
        <v>2006</v>
      </c>
      <c r="N72" t="s">
        <v>3</v>
      </c>
      <c r="O72" t="s">
        <v>58</v>
      </c>
      <c r="P72" t="s">
        <v>35</v>
      </c>
      <c r="Q72">
        <v>15.57</v>
      </c>
      <c r="T72">
        <f>+estDD!C100</f>
        <v>2016</v>
      </c>
      <c r="U72">
        <f>+estDD!D100</f>
        <v>47.235715304345177</v>
      </c>
      <c r="V72" t="str">
        <f>+estDD!E100</f>
        <v>EU-Malta</v>
      </c>
      <c r="X72" s="9">
        <v>2016</v>
      </c>
      <c r="Y72" s="10">
        <v>1369.2935500000001</v>
      </c>
      <c r="Z72" s="10">
        <v>10930.819469999999</v>
      </c>
      <c r="AA72" s="10">
        <v>12300.113019999999</v>
      </c>
    </row>
    <row r="73" spans="1:27" x14ac:dyDescent="0.25">
      <c r="A73">
        <v>2019</v>
      </c>
      <c r="B73">
        <v>10757.391721784999</v>
      </c>
      <c r="E73">
        <v>2019</v>
      </c>
      <c r="F73">
        <v>0</v>
      </c>
      <c r="G73">
        <v>8086.2001499999997</v>
      </c>
      <c r="H73">
        <v>2671.1915715330606</v>
      </c>
      <c r="I73">
        <f t="shared" si="2"/>
        <v>10757.39172153306</v>
      </c>
      <c r="J73" s="4">
        <f t="shared" si="3"/>
        <v>2.5193912733811885E-7</v>
      </c>
      <c r="M73">
        <v>2007</v>
      </c>
      <c r="N73" t="s">
        <v>3</v>
      </c>
      <c r="O73" t="s">
        <v>58</v>
      </c>
      <c r="P73" t="s">
        <v>35</v>
      </c>
      <c r="Q73">
        <v>19.45</v>
      </c>
      <c r="T73">
        <f>+estDD!C101</f>
        <v>2017</v>
      </c>
      <c r="U73">
        <f>+estDD!D101</f>
        <v>136.41963400893735</v>
      </c>
      <c r="V73" t="str">
        <f>+estDD!E101</f>
        <v>EU-Malta</v>
      </c>
      <c r="X73" s="9">
        <v>2017</v>
      </c>
      <c r="Y73" s="10">
        <v>1988.36159</v>
      </c>
      <c r="Z73" s="10">
        <v>8402.0882339999971</v>
      </c>
      <c r="AA73" s="10">
        <v>10390.449823999998</v>
      </c>
    </row>
    <row r="74" spans="1:27" x14ac:dyDescent="0.25">
      <c r="A74">
        <v>2020</v>
      </c>
      <c r="B74">
        <v>10275.362290188999</v>
      </c>
      <c r="E74">
        <v>2020</v>
      </c>
      <c r="F74">
        <v>0</v>
      </c>
      <c r="G74">
        <v>7663.3997280000012</v>
      </c>
      <c r="H74">
        <v>2611.9625621169439</v>
      </c>
      <c r="I74">
        <f t="shared" si="2"/>
        <v>10275.362290116946</v>
      </c>
      <c r="J74" s="4">
        <f t="shared" si="3"/>
        <v>7.2053808253258467E-8</v>
      </c>
      <c r="M74">
        <v>2008</v>
      </c>
      <c r="N74" t="s">
        <v>3</v>
      </c>
      <c r="O74" t="s">
        <v>58</v>
      </c>
      <c r="P74" t="s">
        <v>35</v>
      </c>
      <c r="Q74">
        <v>27.125</v>
      </c>
      <c r="T74">
        <f>+estDD!C102</f>
        <v>2018</v>
      </c>
      <c r="U74">
        <f>+estDD!D102</f>
        <v>127.03471070489449</v>
      </c>
      <c r="V74" t="str">
        <f>+estDD!E102</f>
        <v>EU-Malta</v>
      </c>
      <c r="X74" s="9">
        <v>2018</v>
      </c>
      <c r="Y74" s="10">
        <v>1598.30611</v>
      </c>
      <c r="Z74" s="10">
        <v>6999.2401</v>
      </c>
      <c r="AA74" s="10">
        <v>8597.5462100000004</v>
      </c>
    </row>
    <row r="75" spans="1:27" x14ac:dyDescent="0.25">
      <c r="A75">
        <v>2021</v>
      </c>
      <c r="B75">
        <v>9758.8217282469996</v>
      </c>
      <c r="E75">
        <v>2021</v>
      </c>
      <c r="F75">
        <v>0</v>
      </c>
      <c r="G75">
        <v>7324.331064</v>
      </c>
      <c r="H75">
        <v>2434.4906641431685</v>
      </c>
      <c r="I75">
        <f t="shared" si="2"/>
        <v>9758.821728143168</v>
      </c>
      <c r="J75" s="4">
        <f t="shared" si="3"/>
        <v>1.0383155313320458E-7</v>
      </c>
      <c r="M75">
        <v>2008</v>
      </c>
      <c r="N75" t="s">
        <v>1</v>
      </c>
      <c r="O75" t="s">
        <v>58</v>
      </c>
      <c r="P75" t="s">
        <v>35</v>
      </c>
      <c r="Q75">
        <v>724.41354999999999</v>
      </c>
      <c r="T75">
        <f>+estDD!C103</f>
        <v>2019</v>
      </c>
      <c r="U75">
        <f>+estDD!D103</f>
        <v>167.98202225768557</v>
      </c>
      <c r="V75" t="str">
        <f>+estDD!E103</f>
        <v>EU-Malta</v>
      </c>
      <c r="X75" s="9">
        <v>2019</v>
      </c>
      <c r="Y75" s="10">
        <v>0</v>
      </c>
      <c r="Z75" s="10">
        <v>8086.2001499999997</v>
      </c>
      <c r="AA75" s="10">
        <v>8086.2001499999997</v>
      </c>
    </row>
    <row r="76" spans="1:27" x14ac:dyDescent="0.25">
      <c r="A76">
        <v>2022</v>
      </c>
      <c r="B76">
        <v>9538.6536220899998</v>
      </c>
      <c r="E76">
        <v>2022</v>
      </c>
      <c r="F76">
        <v>0</v>
      </c>
      <c r="G76">
        <v>7078.6452129999998</v>
      </c>
      <c r="H76">
        <v>2460.0084090417299</v>
      </c>
      <c r="I76">
        <f t="shared" si="2"/>
        <v>9538.6536220417292</v>
      </c>
      <c r="J76" s="4">
        <f t="shared" si="3"/>
        <v>4.8270521801896393E-8</v>
      </c>
      <c r="M76">
        <v>2009</v>
      </c>
      <c r="N76" t="s">
        <v>1</v>
      </c>
      <c r="O76" t="s">
        <v>58</v>
      </c>
      <c r="P76" t="s">
        <v>35</v>
      </c>
      <c r="Q76">
        <v>750.91291000000001</v>
      </c>
      <c r="T76">
        <f>+estDD!C104</f>
        <v>2020</v>
      </c>
      <c r="U76">
        <f>+estDD!D104</f>
        <v>149.18250018688724</v>
      </c>
      <c r="V76" t="str">
        <f>+estDD!E104</f>
        <v>EU-Malta</v>
      </c>
      <c r="X76" s="9">
        <v>2020</v>
      </c>
      <c r="Y76" s="10">
        <v>0</v>
      </c>
      <c r="Z76" s="10">
        <v>7663.3997280000012</v>
      </c>
      <c r="AA76" s="10">
        <v>7663.3997280000012</v>
      </c>
    </row>
    <row r="77" spans="1:27" x14ac:dyDescent="0.25">
      <c r="A77">
        <v>2023</v>
      </c>
      <c r="B77">
        <v>10041.163120519999</v>
      </c>
      <c r="E77">
        <v>2023</v>
      </c>
      <c r="F77">
        <v>3.5000000000000003E-2</v>
      </c>
      <c r="G77">
        <v>7437.4328059999998</v>
      </c>
      <c r="H77">
        <v>2603.6953147364429</v>
      </c>
      <c r="I77">
        <f t="shared" si="2"/>
        <v>10041.163120736443</v>
      </c>
      <c r="J77" s="4">
        <f t="shared" si="3"/>
        <v>-2.1644336811732501E-7</v>
      </c>
      <c r="M77">
        <v>2010</v>
      </c>
      <c r="N77" t="s">
        <v>1</v>
      </c>
      <c r="O77" t="s">
        <v>58</v>
      </c>
      <c r="P77" t="s">
        <v>35</v>
      </c>
      <c r="Q77">
        <v>817.35788000000002</v>
      </c>
      <c r="T77">
        <f>+estDD!C105</f>
        <v>2021</v>
      </c>
      <c r="U77">
        <f>+estDD!D105</f>
        <v>161.49165650264786</v>
      </c>
      <c r="V77" t="str">
        <f>+estDD!E105</f>
        <v>EU-Malta</v>
      </c>
      <c r="X77" s="9">
        <v>2021</v>
      </c>
      <c r="Y77" s="10">
        <v>0</v>
      </c>
      <c r="Z77" s="10">
        <v>7324.331064</v>
      </c>
      <c r="AA77" s="10">
        <v>7324.331064</v>
      </c>
    </row>
    <row r="78" spans="1:27" x14ac:dyDescent="0.25">
      <c r="A78">
        <v>2024</v>
      </c>
      <c r="B78">
        <v>11255.040470309999</v>
      </c>
      <c r="E78">
        <v>2024</v>
      </c>
      <c r="F78">
        <v>2.5999999999999999E-2</v>
      </c>
      <c r="G78">
        <v>8382.3888400000033</v>
      </c>
      <c r="H78">
        <v>2872.6256307369026</v>
      </c>
      <c r="I78">
        <f t="shared" si="2"/>
        <v>11255.040470736905</v>
      </c>
      <c r="J78" s="4">
        <f t="shared" si="3"/>
        <v>-4.2690589907579124E-7</v>
      </c>
      <c r="M78">
        <v>2011</v>
      </c>
      <c r="N78" t="s">
        <v>1</v>
      </c>
      <c r="O78" t="s">
        <v>58</v>
      </c>
      <c r="P78" t="s">
        <v>35</v>
      </c>
      <c r="Q78">
        <v>733.70387000000005</v>
      </c>
      <c r="T78">
        <f>+estDD!C106</f>
        <v>2022</v>
      </c>
      <c r="U78">
        <f>+estDD!D106</f>
        <v>157.09802562049344</v>
      </c>
      <c r="V78" t="str">
        <f>+estDD!E106</f>
        <v>EU-Malta</v>
      </c>
      <c r="X78" s="9">
        <v>2022</v>
      </c>
      <c r="Y78" s="10">
        <v>0</v>
      </c>
      <c r="Z78" s="10">
        <v>7078.6452129999998</v>
      </c>
      <c r="AA78" s="10">
        <v>7078.6452129999998</v>
      </c>
    </row>
    <row r="79" spans="1:27" x14ac:dyDescent="0.25">
      <c r="M79">
        <v>2012</v>
      </c>
      <c r="N79" t="s">
        <v>1</v>
      </c>
      <c r="O79" t="s">
        <v>58</v>
      </c>
      <c r="P79" t="s">
        <v>35</v>
      </c>
      <c r="Q79">
        <v>617.88523999999995</v>
      </c>
      <c r="T79">
        <f>+estDD!C107</f>
        <v>2023</v>
      </c>
      <c r="U79">
        <f>+estDD!D107</f>
        <v>148.52191682227991</v>
      </c>
      <c r="V79" t="str">
        <f>+estDD!E107</f>
        <v>EU-Malta</v>
      </c>
      <c r="X79" s="9">
        <v>2023</v>
      </c>
      <c r="Y79" s="10">
        <v>3.5000000000000003E-2</v>
      </c>
      <c r="Z79" s="10">
        <v>7437.4328059999998</v>
      </c>
      <c r="AA79" s="10">
        <v>7437.4678059999997</v>
      </c>
    </row>
    <row r="80" spans="1:27" x14ac:dyDescent="0.25">
      <c r="M80">
        <v>2013</v>
      </c>
      <c r="N80" t="s">
        <v>1</v>
      </c>
      <c r="O80" t="s">
        <v>58</v>
      </c>
      <c r="P80" t="s">
        <v>35</v>
      </c>
      <c r="Q80">
        <v>456.26274999999998</v>
      </c>
      <c r="T80">
        <f>+estDD!C108</f>
        <v>2024</v>
      </c>
      <c r="U80">
        <f>+estDD!D108</f>
        <v>154.44108731545447</v>
      </c>
      <c r="V80" t="str">
        <f>+estDD!E108</f>
        <v>EU-Malta</v>
      </c>
      <c r="X80" s="9">
        <v>2024</v>
      </c>
      <c r="Y80" s="10">
        <v>2.5999999999999999E-2</v>
      </c>
      <c r="Z80" s="10">
        <v>8382.3888400000033</v>
      </c>
      <c r="AA80" s="10">
        <v>8382.4148400000031</v>
      </c>
    </row>
    <row r="81" spans="13:27" x14ac:dyDescent="0.25">
      <c r="M81">
        <v>2014</v>
      </c>
      <c r="N81" t="s">
        <v>1</v>
      </c>
      <c r="O81" t="s">
        <v>58</v>
      </c>
      <c r="P81" t="s">
        <v>35</v>
      </c>
      <c r="Q81">
        <v>537.86406999999997</v>
      </c>
      <c r="T81">
        <f>+estDD!C109</f>
        <v>2014</v>
      </c>
      <c r="U81">
        <f>+estDD!D109</f>
        <v>0</v>
      </c>
      <c r="V81" t="str">
        <f>+estDD!E109</f>
        <v>Türkiye</v>
      </c>
      <c r="X81" s="9" t="s">
        <v>47</v>
      </c>
      <c r="Y81" s="10">
        <v>15232.057550000001</v>
      </c>
      <c r="Z81" s="10">
        <v>676809.80030900019</v>
      </c>
      <c r="AA81" s="10">
        <v>692041.8578590001</v>
      </c>
    </row>
    <row r="82" spans="13:27" x14ac:dyDescent="0.25">
      <c r="M82">
        <v>2015</v>
      </c>
      <c r="N82" t="s">
        <v>1</v>
      </c>
      <c r="O82" t="s">
        <v>58</v>
      </c>
      <c r="P82" t="s">
        <v>35</v>
      </c>
      <c r="Q82">
        <v>669.76264000000003</v>
      </c>
      <c r="T82">
        <f>+estDD!C110</f>
        <v>2015</v>
      </c>
      <c r="U82">
        <f>+estDD!D110</f>
        <v>0</v>
      </c>
      <c r="V82" t="str">
        <f>+estDD!E110</f>
        <v>Türkiye</v>
      </c>
    </row>
    <row r="83" spans="13:27" x14ac:dyDescent="0.25">
      <c r="M83">
        <v>2016</v>
      </c>
      <c r="N83" t="s">
        <v>1</v>
      </c>
      <c r="O83" t="s">
        <v>58</v>
      </c>
      <c r="P83" t="s">
        <v>35</v>
      </c>
      <c r="Q83">
        <v>622.66890999999998</v>
      </c>
      <c r="T83">
        <f>+estDD!C111</f>
        <v>2016</v>
      </c>
      <c r="U83">
        <f>+estDD!D111</f>
        <v>0</v>
      </c>
      <c r="V83" t="str">
        <f>+estDD!E111</f>
        <v>Türkiye</v>
      </c>
    </row>
    <row r="84" spans="13:27" x14ac:dyDescent="0.25">
      <c r="M84">
        <v>2017</v>
      </c>
      <c r="N84" t="s">
        <v>1</v>
      </c>
      <c r="O84" t="s">
        <v>58</v>
      </c>
      <c r="P84" t="s">
        <v>35</v>
      </c>
      <c r="Q84">
        <v>907.38449000000003</v>
      </c>
      <c r="T84">
        <f>+estDD!C112</f>
        <v>2017</v>
      </c>
      <c r="U84">
        <f>+estDD!D112</f>
        <v>0</v>
      </c>
      <c r="V84" t="str">
        <f>+estDD!E112</f>
        <v>Türkiye</v>
      </c>
    </row>
    <row r="85" spans="13:27" x14ac:dyDescent="0.25">
      <c r="M85">
        <v>2018</v>
      </c>
      <c r="N85" t="s">
        <v>1</v>
      </c>
      <c r="O85" t="s">
        <v>58</v>
      </c>
      <c r="P85" t="s">
        <v>35</v>
      </c>
      <c r="Q85">
        <v>534.95600999999999</v>
      </c>
      <c r="T85">
        <f>+estDD!C113</f>
        <v>2018</v>
      </c>
      <c r="U85">
        <f>+estDD!D113</f>
        <v>0</v>
      </c>
      <c r="V85" t="str">
        <f>+estDD!E113</f>
        <v>Türkiye</v>
      </c>
    </row>
    <row r="86" spans="13:27" x14ac:dyDescent="0.25">
      <c r="M86">
        <v>2019</v>
      </c>
      <c r="N86" t="s">
        <v>39</v>
      </c>
      <c r="O86" t="s">
        <v>58</v>
      </c>
      <c r="P86" t="s">
        <v>35</v>
      </c>
      <c r="Q86">
        <v>0</v>
      </c>
      <c r="T86">
        <f>+estDD!C114</f>
        <v>2019</v>
      </c>
      <c r="U86">
        <f>+estDD!D114</f>
        <v>159.74223275775552</v>
      </c>
      <c r="V86" t="str">
        <f>+estDD!E114</f>
        <v>Türkiye</v>
      </c>
    </row>
    <row r="87" spans="13:27" x14ac:dyDescent="0.25">
      <c r="M87">
        <v>2020</v>
      </c>
      <c r="N87" t="s">
        <v>39</v>
      </c>
      <c r="O87" t="s">
        <v>58</v>
      </c>
      <c r="P87" t="s">
        <v>35</v>
      </c>
      <c r="Q87">
        <v>0</v>
      </c>
      <c r="T87">
        <f>+estDD!C115</f>
        <v>2020</v>
      </c>
      <c r="U87">
        <f>+estDD!D115</f>
        <v>155.53086918632042</v>
      </c>
      <c r="V87" t="str">
        <f>+estDD!E115</f>
        <v>Türkiye</v>
      </c>
    </row>
    <row r="88" spans="13:27" x14ac:dyDescent="0.25">
      <c r="M88">
        <v>2021</v>
      </c>
      <c r="N88" t="s">
        <v>39</v>
      </c>
      <c r="O88" t="s">
        <v>58</v>
      </c>
      <c r="P88" t="s">
        <v>35</v>
      </c>
      <c r="Q88">
        <v>0</v>
      </c>
      <c r="T88">
        <f>+estDD!C116</f>
        <v>2021</v>
      </c>
      <c r="U88">
        <f>+estDD!D116</f>
        <v>147.61698066750375</v>
      </c>
      <c r="V88" t="str">
        <f>+estDD!E116</f>
        <v>Türkiye</v>
      </c>
    </row>
    <row r="89" spans="13:27" x14ac:dyDescent="0.25">
      <c r="M89">
        <v>2022</v>
      </c>
      <c r="N89" t="s">
        <v>39</v>
      </c>
      <c r="O89" t="s">
        <v>58</v>
      </c>
      <c r="P89" t="s">
        <v>35</v>
      </c>
      <c r="Q89">
        <v>0</v>
      </c>
      <c r="T89">
        <f>+estDD!C117</f>
        <v>2022</v>
      </c>
      <c r="U89">
        <f>+estDD!D117</f>
        <v>126.50638311835509</v>
      </c>
      <c r="V89" t="str">
        <f>+estDD!E117</f>
        <v>Türkiye</v>
      </c>
    </row>
    <row r="90" spans="13:27" x14ac:dyDescent="0.25">
      <c r="M90">
        <v>2023</v>
      </c>
      <c r="N90" t="s">
        <v>39</v>
      </c>
      <c r="O90" t="s">
        <v>58</v>
      </c>
      <c r="P90" t="s">
        <v>35</v>
      </c>
      <c r="Q90">
        <v>0</v>
      </c>
      <c r="T90">
        <f>+estDD!C118</f>
        <v>2023</v>
      </c>
      <c r="U90">
        <f>+estDD!D118</f>
        <v>142.18523177821663</v>
      </c>
      <c r="V90" t="str">
        <f>+estDD!E118</f>
        <v>Türkiye</v>
      </c>
    </row>
    <row r="91" spans="13:27" x14ac:dyDescent="0.25">
      <c r="M91">
        <v>2024</v>
      </c>
      <c r="N91" t="s">
        <v>39</v>
      </c>
      <c r="O91" t="s">
        <v>58</v>
      </c>
      <c r="P91" t="s">
        <v>35</v>
      </c>
      <c r="Q91">
        <v>0</v>
      </c>
      <c r="T91">
        <f>+estDD!C119</f>
        <v>2024</v>
      </c>
      <c r="U91">
        <f>+estDD!D119</f>
        <v>142.51618372882058</v>
      </c>
      <c r="V91" t="str">
        <f>+estDD!E119</f>
        <v>Türkiye</v>
      </c>
    </row>
    <row r="92" spans="13:27" x14ac:dyDescent="0.25">
      <c r="M92">
        <v>2015</v>
      </c>
      <c r="N92" t="s">
        <v>10</v>
      </c>
      <c r="O92" t="s">
        <v>58</v>
      </c>
      <c r="P92" t="s">
        <v>35</v>
      </c>
      <c r="Q92">
        <v>0</v>
      </c>
      <c r="R92">
        <v>1</v>
      </c>
      <c r="T92">
        <f>+estDD!C120</f>
        <v>2014</v>
      </c>
      <c r="U92">
        <f>+estDD!D120</f>
        <v>6.7466396998118032</v>
      </c>
      <c r="V92" t="str">
        <f>+estDD!E120</f>
        <v>EU-Cyprus</v>
      </c>
    </row>
    <row r="93" spans="13:27" x14ac:dyDescent="0.25">
      <c r="M93">
        <v>2018</v>
      </c>
      <c r="N93" t="s">
        <v>10</v>
      </c>
      <c r="O93" t="s">
        <v>58</v>
      </c>
      <c r="P93" t="s">
        <v>35</v>
      </c>
      <c r="Q93">
        <v>0</v>
      </c>
      <c r="R93">
        <v>1</v>
      </c>
      <c r="T93">
        <f>+estDD!C121</f>
        <v>2015</v>
      </c>
      <c r="U93">
        <f>+estDD!D121</f>
        <v>5.1592898325264791</v>
      </c>
      <c r="V93" t="str">
        <f>+estDD!E121</f>
        <v>EU-Cyprus</v>
      </c>
    </row>
    <row r="94" spans="13:27" x14ac:dyDescent="0.25">
      <c r="M94">
        <v>2019</v>
      </c>
      <c r="N94" t="s">
        <v>10</v>
      </c>
      <c r="O94" t="s">
        <v>58</v>
      </c>
      <c r="P94" t="s">
        <v>35</v>
      </c>
      <c r="Q94">
        <v>0</v>
      </c>
      <c r="R94">
        <v>1</v>
      </c>
      <c r="T94">
        <f>+estDD!C122</f>
        <v>2016</v>
      </c>
      <c r="U94">
        <f>+estDD!D122</f>
        <v>4.9768953465436416</v>
      </c>
      <c r="V94" t="str">
        <f>+estDD!E122</f>
        <v>EU-Cyprus</v>
      </c>
    </row>
    <row r="95" spans="13:27" x14ac:dyDescent="0.25">
      <c r="M95">
        <v>2020</v>
      </c>
      <c r="N95" t="s">
        <v>10</v>
      </c>
      <c r="O95" t="s">
        <v>58</v>
      </c>
      <c r="P95" t="s">
        <v>35</v>
      </c>
      <c r="Q95">
        <v>0</v>
      </c>
      <c r="R95">
        <v>1</v>
      </c>
      <c r="T95">
        <f>+estDD!C123</f>
        <v>2017</v>
      </c>
      <c r="U95">
        <f>+estDD!D123</f>
        <v>19.763193071509821</v>
      </c>
      <c r="V95" t="str">
        <f>+estDD!E123</f>
        <v>EU-Cyprus</v>
      </c>
    </row>
    <row r="96" spans="13:27" x14ac:dyDescent="0.25">
      <c r="M96">
        <v>2021</v>
      </c>
      <c r="N96" t="s">
        <v>10</v>
      </c>
      <c r="O96" t="s">
        <v>58</v>
      </c>
      <c r="P96" t="s">
        <v>35</v>
      </c>
      <c r="Q96">
        <v>0</v>
      </c>
      <c r="R96">
        <v>1</v>
      </c>
      <c r="T96">
        <f>+estDD!C124</f>
        <v>2018</v>
      </c>
      <c r="U96">
        <f>+estDD!D124</f>
        <v>18.100820009667068</v>
      </c>
      <c r="V96" t="str">
        <f>+estDD!E124</f>
        <v>EU-Cyprus</v>
      </c>
    </row>
    <row r="97" spans="13:22" x14ac:dyDescent="0.25">
      <c r="M97">
        <v>2022</v>
      </c>
      <c r="N97" t="s">
        <v>10</v>
      </c>
      <c r="O97" t="s">
        <v>58</v>
      </c>
      <c r="P97" t="s">
        <v>35</v>
      </c>
      <c r="Q97">
        <v>0</v>
      </c>
      <c r="R97">
        <v>1</v>
      </c>
      <c r="T97">
        <f>+estDD!C125</f>
        <v>2019</v>
      </c>
      <c r="U97">
        <f>+estDD!D125</f>
        <v>9.5913187851431054</v>
      </c>
      <c r="V97" t="str">
        <f>+estDD!E125</f>
        <v>EU-Cyprus</v>
      </c>
    </row>
    <row r="98" spans="13:22" x14ac:dyDescent="0.25">
      <c r="M98">
        <v>2008</v>
      </c>
      <c r="N98" t="s">
        <v>4</v>
      </c>
      <c r="O98" t="s">
        <v>58</v>
      </c>
      <c r="P98" t="s">
        <v>35</v>
      </c>
      <c r="Q98">
        <v>343.34987999999998</v>
      </c>
      <c r="T98">
        <f>+estDD!C126</f>
        <v>2020</v>
      </c>
      <c r="U98">
        <f>+estDD!D126</f>
        <v>11.923900737211062</v>
      </c>
      <c r="V98" t="str">
        <f>+estDD!E126</f>
        <v>EU-Cyprus</v>
      </c>
    </row>
    <row r="99" spans="13:22" x14ac:dyDescent="0.25">
      <c r="M99">
        <v>2009</v>
      </c>
      <c r="N99" t="s">
        <v>4</v>
      </c>
      <c r="O99" t="s">
        <v>58</v>
      </c>
      <c r="P99" t="s">
        <v>35</v>
      </c>
      <c r="Q99">
        <v>278.18858999999998</v>
      </c>
      <c r="T99">
        <f>+estDD!C127</f>
        <v>2021</v>
      </c>
      <c r="U99">
        <f>+estDD!D127</f>
        <v>22.192202224192819</v>
      </c>
      <c r="V99" t="str">
        <f>+estDD!E127</f>
        <v>EU-Cyprus</v>
      </c>
    </row>
    <row r="100" spans="13:22" x14ac:dyDescent="0.25">
      <c r="M100">
        <v>2010</v>
      </c>
      <c r="N100" t="s">
        <v>4</v>
      </c>
      <c r="O100" t="s">
        <v>58</v>
      </c>
      <c r="P100" t="s">
        <v>35</v>
      </c>
      <c r="Q100">
        <v>300.74441999999999</v>
      </c>
      <c r="T100">
        <f>+estDD!C128</f>
        <v>2022</v>
      </c>
      <c r="U100">
        <f>+estDD!D128</f>
        <v>14.432220067021406</v>
      </c>
      <c r="V100" t="str">
        <f>+estDD!E128</f>
        <v>EU-Cyprus</v>
      </c>
    </row>
    <row r="101" spans="13:22" x14ac:dyDescent="0.25">
      <c r="M101">
        <v>2011</v>
      </c>
      <c r="N101" t="s">
        <v>4</v>
      </c>
      <c r="O101" t="s">
        <v>58</v>
      </c>
      <c r="P101" t="s">
        <v>35</v>
      </c>
      <c r="Q101">
        <v>160.39703</v>
      </c>
      <c r="T101">
        <f>+estDD!C129</f>
        <v>2023</v>
      </c>
      <c r="U101">
        <f>+estDD!D129</f>
        <v>22.862144146548538</v>
      </c>
      <c r="V101" t="str">
        <f>+estDD!E129</f>
        <v>EU-Cyprus</v>
      </c>
    </row>
    <row r="102" spans="13:22" x14ac:dyDescent="0.25">
      <c r="M102">
        <v>2012</v>
      </c>
      <c r="N102" t="s">
        <v>4</v>
      </c>
      <c r="O102" t="s">
        <v>58</v>
      </c>
      <c r="P102" t="s">
        <v>35</v>
      </c>
      <c r="Q102">
        <v>200.99752000000001</v>
      </c>
      <c r="T102">
        <f>+estDD!C130</f>
        <v>2024</v>
      </c>
      <c r="U102">
        <f>+estDD!D130</f>
        <v>24.467402819623704</v>
      </c>
      <c r="V102" t="str">
        <f>+estDD!E130</f>
        <v>EU-Cyprus</v>
      </c>
    </row>
    <row r="103" spans="13:22" x14ac:dyDescent="0.25">
      <c r="M103">
        <v>2013</v>
      </c>
      <c r="N103" t="s">
        <v>4</v>
      </c>
      <c r="O103" t="s">
        <v>58</v>
      </c>
      <c r="P103" t="s">
        <v>35</v>
      </c>
      <c r="Q103">
        <v>192.97766999999999</v>
      </c>
      <c r="T103">
        <f>+estDD!C131</f>
        <v>2014</v>
      </c>
      <c r="U103">
        <f>+estDD!D131</f>
        <v>0</v>
      </c>
      <c r="V103" t="str">
        <f>+estDD!E131</f>
        <v>Libya</v>
      </c>
    </row>
    <row r="104" spans="13:22" x14ac:dyDescent="0.25">
      <c r="M104">
        <v>2014</v>
      </c>
      <c r="N104" t="s">
        <v>4</v>
      </c>
      <c r="O104" t="s">
        <v>58</v>
      </c>
      <c r="P104" t="s">
        <v>35</v>
      </c>
      <c r="Q104">
        <v>197.88937000000001</v>
      </c>
      <c r="T104">
        <f>+estDD!C132</f>
        <v>2015</v>
      </c>
      <c r="U104">
        <f>+estDD!D132</f>
        <v>67.081709542105173</v>
      </c>
      <c r="V104" t="str">
        <f>+estDD!E132</f>
        <v>Libya</v>
      </c>
    </row>
    <row r="105" spans="13:22" x14ac:dyDescent="0.25">
      <c r="M105">
        <v>2015</v>
      </c>
      <c r="N105" t="s">
        <v>4</v>
      </c>
      <c r="O105" t="s">
        <v>58</v>
      </c>
      <c r="P105" t="s">
        <v>35</v>
      </c>
      <c r="Q105">
        <v>123.46241000000001</v>
      </c>
      <c r="T105">
        <f>+estDD!C133</f>
        <v>2016</v>
      </c>
      <c r="U105">
        <f>+estDD!D133</f>
        <v>110.08280540242902</v>
      </c>
      <c r="V105" t="str">
        <f>+estDD!E133</f>
        <v>Libya</v>
      </c>
    </row>
    <row r="106" spans="13:22" x14ac:dyDescent="0.25">
      <c r="M106">
        <v>2016</v>
      </c>
      <c r="N106" t="s">
        <v>4</v>
      </c>
      <c r="O106" t="s">
        <v>58</v>
      </c>
      <c r="P106" t="s">
        <v>35</v>
      </c>
      <c r="Q106">
        <v>285.26909000000001</v>
      </c>
      <c r="T106">
        <f>+estDD!C134</f>
        <v>2017</v>
      </c>
      <c r="U106">
        <f>+estDD!D134</f>
        <v>11.634578170732116</v>
      </c>
      <c r="V106" t="str">
        <f>+estDD!E134</f>
        <v>Libya</v>
      </c>
    </row>
    <row r="107" spans="13:22" x14ac:dyDescent="0.25">
      <c r="M107">
        <v>2017</v>
      </c>
      <c r="N107" t="s">
        <v>4</v>
      </c>
      <c r="O107" t="s">
        <v>58</v>
      </c>
      <c r="P107" t="s">
        <v>35</v>
      </c>
      <c r="Q107">
        <v>350.2629</v>
      </c>
      <c r="T107">
        <f>+estDD!C135</f>
        <v>2018</v>
      </c>
      <c r="U107">
        <f>+estDD!D135</f>
        <v>27.147349065041603</v>
      </c>
      <c r="V107" t="str">
        <f>+estDD!E135</f>
        <v>Libya</v>
      </c>
    </row>
    <row r="108" spans="13:22" x14ac:dyDescent="0.25">
      <c r="M108">
        <v>2018</v>
      </c>
      <c r="N108" t="s">
        <v>4</v>
      </c>
      <c r="O108" t="s">
        <v>58</v>
      </c>
      <c r="P108" t="s">
        <v>35</v>
      </c>
      <c r="Q108">
        <v>354.81632000000002</v>
      </c>
      <c r="T108">
        <f>+estDD!C136</f>
        <v>2019</v>
      </c>
      <c r="U108">
        <f>+estDD!D136</f>
        <v>10.083301081301167</v>
      </c>
      <c r="V108" t="str">
        <f>+estDD!E136</f>
        <v>Libya</v>
      </c>
    </row>
    <row r="109" spans="13:22" x14ac:dyDescent="0.25">
      <c r="M109">
        <v>2019</v>
      </c>
      <c r="N109" t="s">
        <v>4</v>
      </c>
      <c r="O109" t="s">
        <v>58</v>
      </c>
      <c r="P109" t="s">
        <v>35</v>
      </c>
      <c r="Q109">
        <v>0</v>
      </c>
      <c r="T109">
        <f>+estDD!C137</f>
        <v>2020</v>
      </c>
      <c r="U109">
        <f>+estDD!D137</f>
        <v>8.5320239918702168</v>
      </c>
      <c r="V109" t="str">
        <f>+estDD!E137</f>
        <v>Libya</v>
      </c>
    </row>
    <row r="110" spans="13:22" x14ac:dyDescent="0.25">
      <c r="M110">
        <v>2020</v>
      </c>
      <c r="N110" t="s">
        <v>4</v>
      </c>
      <c r="O110" t="s">
        <v>58</v>
      </c>
      <c r="P110" t="s">
        <v>35</v>
      </c>
      <c r="Q110">
        <v>0</v>
      </c>
      <c r="T110">
        <f>+estDD!C138</f>
        <v>2021</v>
      </c>
      <c r="U110">
        <f>+estDD!D138</f>
        <v>7.3685661747970066</v>
      </c>
      <c r="V110" t="str">
        <f>+estDD!E138</f>
        <v>Libya</v>
      </c>
    </row>
    <row r="111" spans="13:22" x14ac:dyDescent="0.25">
      <c r="M111">
        <v>2021</v>
      </c>
      <c r="N111" t="s">
        <v>4</v>
      </c>
      <c r="O111" t="s">
        <v>58</v>
      </c>
      <c r="P111" t="s">
        <v>35</v>
      </c>
      <c r="Q111">
        <v>0</v>
      </c>
      <c r="T111">
        <f>+estDD!C139</f>
        <v>2022</v>
      </c>
      <c r="U111">
        <f>+estDD!D139</f>
        <v>8.14420471951248</v>
      </c>
      <c r="V111" t="str">
        <f>+estDD!E139</f>
        <v>Libya</v>
      </c>
    </row>
    <row r="112" spans="13:22" x14ac:dyDescent="0.25">
      <c r="M112">
        <v>2022</v>
      </c>
      <c r="N112" t="s">
        <v>4</v>
      </c>
      <c r="O112" t="s">
        <v>58</v>
      </c>
      <c r="P112" t="s">
        <v>35</v>
      </c>
      <c r="Q112">
        <v>0</v>
      </c>
      <c r="T112">
        <f>+estDD!C140</f>
        <v>2023</v>
      </c>
      <c r="U112">
        <f>+estDD!D140</f>
        <v>96.954818089434298</v>
      </c>
      <c r="V112" t="str">
        <f>+estDD!E140</f>
        <v>Libya</v>
      </c>
    </row>
    <row r="113" spans="13:22" x14ac:dyDescent="0.25">
      <c r="M113">
        <v>2024</v>
      </c>
      <c r="N113" t="s">
        <v>4</v>
      </c>
      <c r="O113" t="s">
        <v>58</v>
      </c>
      <c r="P113" t="s">
        <v>35</v>
      </c>
      <c r="Q113">
        <v>0</v>
      </c>
      <c r="T113">
        <f>+estDD!C141</f>
        <v>2024</v>
      </c>
      <c r="U113">
        <f>+estDD!D141</f>
        <v>46.538312682928463</v>
      </c>
      <c r="V113" t="str">
        <f>+estDD!E141</f>
        <v>Libya</v>
      </c>
    </row>
    <row r="114" spans="13:22" x14ac:dyDescent="0.25">
      <c r="M114">
        <v>2008</v>
      </c>
      <c r="N114" t="s">
        <v>5</v>
      </c>
      <c r="O114" t="s">
        <v>58</v>
      </c>
      <c r="P114" t="s">
        <v>35</v>
      </c>
      <c r="Q114">
        <v>220.91741999999999</v>
      </c>
      <c r="T114">
        <f>+estDD!C142</f>
        <v>2014</v>
      </c>
      <c r="U114">
        <f>+estDD!D142</f>
        <v>13.721568838507743</v>
      </c>
      <c r="V114" t="str">
        <f>+estDD!E142</f>
        <v>EU-France</v>
      </c>
    </row>
    <row r="115" spans="13:22" x14ac:dyDescent="0.25">
      <c r="M115">
        <v>2009</v>
      </c>
      <c r="N115" t="s">
        <v>5</v>
      </c>
      <c r="O115" t="s">
        <v>58</v>
      </c>
      <c r="P115" t="s">
        <v>35</v>
      </c>
      <c r="Q115">
        <v>221.13593</v>
      </c>
      <c r="T115">
        <f>+estDD!C143</f>
        <v>2015</v>
      </c>
      <c r="U115">
        <f>+estDD!D143</f>
        <v>20.585000832416885</v>
      </c>
      <c r="V115" t="str">
        <f>+estDD!E143</f>
        <v>EU-France</v>
      </c>
    </row>
    <row r="116" spans="13:22" x14ac:dyDescent="0.25">
      <c r="M116">
        <v>2010</v>
      </c>
      <c r="N116" t="s">
        <v>5</v>
      </c>
      <c r="O116" t="s">
        <v>58</v>
      </c>
      <c r="P116" t="s">
        <v>35</v>
      </c>
      <c r="Q116">
        <v>222.00998999999999</v>
      </c>
      <c r="T116">
        <f>+estDD!C144</f>
        <v>2016</v>
      </c>
      <c r="U116">
        <f>+estDD!D144</f>
        <v>19.808760098130445</v>
      </c>
      <c r="V116" t="str">
        <f>+estDD!E144</f>
        <v>EU-France</v>
      </c>
    </row>
    <row r="117" spans="13:22" x14ac:dyDescent="0.25">
      <c r="M117">
        <v>2011</v>
      </c>
      <c r="N117" t="s">
        <v>5</v>
      </c>
      <c r="O117" t="s">
        <v>58</v>
      </c>
      <c r="P117" t="s">
        <v>35</v>
      </c>
      <c r="Q117">
        <v>227.25432000000001</v>
      </c>
      <c r="T117">
        <f>+estDD!C145</f>
        <v>2017</v>
      </c>
      <c r="U117">
        <f>+estDD!D145</f>
        <v>43.799500592790523</v>
      </c>
      <c r="V117" t="str">
        <f>+estDD!E145</f>
        <v>EU-France</v>
      </c>
    </row>
    <row r="118" spans="13:22" x14ac:dyDescent="0.25">
      <c r="M118">
        <v>2012</v>
      </c>
      <c r="N118" t="s">
        <v>5</v>
      </c>
      <c r="O118" t="s">
        <v>58</v>
      </c>
      <c r="P118" t="s">
        <v>35</v>
      </c>
      <c r="Q118">
        <v>226.81729000000001</v>
      </c>
      <c r="T118">
        <f>+estDD!C146</f>
        <v>2018</v>
      </c>
      <c r="U118">
        <f>+estDD!D146</f>
        <v>33.882463727932624</v>
      </c>
      <c r="V118" t="str">
        <f>+estDD!E146</f>
        <v>EU-France</v>
      </c>
    </row>
    <row r="119" spans="13:22" x14ac:dyDescent="0.25">
      <c r="M119">
        <v>2013</v>
      </c>
      <c r="N119" t="s">
        <v>5</v>
      </c>
      <c r="O119" t="s">
        <v>58</v>
      </c>
      <c r="P119" t="s">
        <v>35</v>
      </c>
      <c r="Q119">
        <v>226.38025999999999</v>
      </c>
      <c r="T119">
        <f>+estDD!C147</f>
        <v>2019</v>
      </c>
      <c r="U119">
        <f>+estDD!D147</f>
        <v>28.03057017227361</v>
      </c>
      <c r="V119" t="str">
        <f>+estDD!E147</f>
        <v>EU-France</v>
      </c>
    </row>
    <row r="120" spans="13:22" x14ac:dyDescent="0.25">
      <c r="M120">
        <v>2014</v>
      </c>
      <c r="N120" t="s">
        <v>5</v>
      </c>
      <c r="O120" t="s">
        <v>58</v>
      </c>
      <c r="P120" t="s">
        <v>35</v>
      </c>
      <c r="Q120">
        <v>271.88983000000002</v>
      </c>
      <c r="T120">
        <f>+estDD!C148</f>
        <v>2020</v>
      </c>
      <c r="U120">
        <f>+estDD!D148</f>
        <v>42.408642475867914</v>
      </c>
      <c r="V120" t="str">
        <f>+estDD!E148</f>
        <v>EU-France</v>
      </c>
    </row>
    <row r="121" spans="13:22" x14ac:dyDescent="0.25">
      <c r="M121">
        <v>2015</v>
      </c>
      <c r="N121" t="s">
        <v>5</v>
      </c>
      <c r="O121" t="s">
        <v>58</v>
      </c>
      <c r="P121" t="s">
        <v>35</v>
      </c>
      <c r="Q121">
        <v>272.94571000000002</v>
      </c>
      <c r="T121">
        <f>+estDD!C149</f>
        <v>2021</v>
      </c>
      <c r="U121">
        <f>+estDD!D149</f>
        <v>37.0571310591409</v>
      </c>
      <c r="V121" t="str">
        <f>+estDD!E149</f>
        <v>EU-France</v>
      </c>
    </row>
    <row r="122" spans="13:22" x14ac:dyDescent="0.25">
      <c r="M122">
        <v>2016</v>
      </c>
      <c r="N122" t="s">
        <v>5</v>
      </c>
      <c r="O122" t="s">
        <v>58</v>
      </c>
      <c r="P122" t="s">
        <v>35</v>
      </c>
      <c r="Q122">
        <v>265.82166999999998</v>
      </c>
      <c r="T122">
        <f>+estDD!C150</f>
        <v>2022</v>
      </c>
      <c r="U122">
        <f>+estDD!D150</f>
        <v>24.36747108535776</v>
      </c>
      <c r="V122" t="str">
        <f>+estDD!E150</f>
        <v>EU-France</v>
      </c>
    </row>
    <row r="123" spans="13:22" x14ac:dyDescent="0.25">
      <c r="M123">
        <v>2017</v>
      </c>
      <c r="N123" t="s">
        <v>5</v>
      </c>
      <c r="O123" t="s">
        <v>58</v>
      </c>
      <c r="P123" t="s">
        <v>35</v>
      </c>
      <c r="Q123">
        <v>374.29800999999998</v>
      </c>
      <c r="T123">
        <f>+estDD!C151</f>
        <v>2023</v>
      </c>
      <c r="U123">
        <f>+estDD!D151</f>
        <v>25.960528824298699</v>
      </c>
      <c r="V123" t="str">
        <f>+estDD!E151</f>
        <v>EU-France</v>
      </c>
    </row>
    <row r="124" spans="13:22" x14ac:dyDescent="0.25">
      <c r="M124">
        <v>2018</v>
      </c>
      <c r="N124" t="s">
        <v>5</v>
      </c>
      <c r="O124" t="s">
        <v>58</v>
      </c>
      <c r="P124" t="s">
        <v>35</v>
      </c>
      <c r="Q124">
        <v>363.50337999999999</v>
      </c>
      <c r="T124">
        <f>+estDD!C152</f>
        <v>2024</v>
      </c>
      <c r="U124">
        <f>+estDD!D152</f>
        <v>30.499915604977403</v>
      </c>
      <c r="V124" t="str">
        <f>+estDD!E152</f>
        <v>EU-France</v>
      </c>
    </row>
    <row r="125" spans="13:22" x14ac:dyDescent="0.25">
      <c r="M125">
        <v>2011</v>
      </c>
      <c r="N125" t="s">
        <v>6</v>
      </c>
      <c r="O125" t="s">
        <v>59</v>
      </c>
      <c r="P125" t="s">
        <v>35</v>
      </c>
      <c r="Q125">
        <v>0</v>
      </c>
      <c r="T125">
        <f>+estDD!C153</f>
        <v>2014</v>
      </c>
      <c r="U125">
        <f>+estDD!D153</f>
        <v>1.4328404026732089</v>
      </c>
      <c r="V125" t="str">
        <f>+estDD!E153</f>
        <v>EU-Croatia</v>
      </c>
    </row>
    <row r="126" spans="13:22" x14ac:dyDescent="0.25">
      <c r="M126">
        <v>2020</v>
      </c>
      <c r="N126" t="s">
        <v>6</v>
      </c>
      <c r="O126" t="s">
        <v>59</v>
      </c>
      <c r="P126" t="s">
        <v>35</v>
      </c>
      <c r="Q126">
        <v>0</v>
      </c>
      <c r="T126">
        <f>+estDD!C154</f>
        <v>2015</v>
      </c>
      <c r="U126">
        <f>+estDD!D154</f>
        <v>0.59793416800609089</v>
      </c>
      <c r="V126" t="str">
        <f>+estDD!E154</f>
        <v>EU-Croatia</v>
      </c>
    </row>
    <row r="127" spans="13:22" x14ac:dyDescent="0.25">
      <c r="M127">
        <v>2024</v>
      </c>
      <c r="N127" t="s">
        <v>12</v>
      </c>
      <c r="O127" t="s">
        <v>59</v>
      </c>
      <c r="P127" t="s">
        <v>35</v>
      </c>
      <c r="Q127">
        <v>2.5999999999999999E-2</v>
      </c>
      <c r="T127">
        <f>+estDD!C155</f>
        <v>2016</v>
      </c>
      <c r="U127">
        <f>+estDD!D155</f>
        <v>2.4059293799170973</v>
      </c>
      <c r="V127" t="str">
        <f>+estDD!E155</f>
        <v>EU-Croatia</v>
      </c>
    </row>
    <row r="128" spans="13:22" x14ac:dyDescent="0.25">
      <c r="M128">
        <v>2014</v>
      </c>
      <c r="N128" t="s">
        <v>4</v>
      </c>
      <c r="O128" t="s">
        <v>59</v>
      </c>
      <c r="P128" t="s">
        <v>35</v>
      </c>
      <c r="Q128">
        <v>0</v>
      </c>
      <c r="T128">
        <f>+estDD!C156</f>
        <v>2017</v>
      </c>
      <c r="U128">
        <f>+estDD!D156</f>
        <v>6.6463353552574631</v>
      </c>
      <c r="V128" t="str">
        <f>+estDD!E156</f>
        <v>EU-Croatia</v>
      </c>
    </row>
    <row r="129" spans="13:22" x14ac:dyDescent="0.25">
      <c r="M129">
        <v>2018</v>
      </c>
      <c r="N129" t="s">
        <v>2</v>
      </c>
      <c r="O129" t="s">
        <v>60</v>
      </c>
      <c r="P129" t="s">
        <v>35</v>
      </c>
      <c r="Q129">
        <v>0</v>
      </c>
      <c r="T129">
        <f>+estDD!C157</f>
        <v>2018</v>
      </c>
      <c r="U129">
        <f>+estDD!D157</f>
        <v>10.744459462723034</v>
      </c>
      <c r="V129" t="str">
        <f>+estDD!E157</f>
        <v>EU-Croatia</v>
      </c>
    </row>
    <row r="130" spans="13:22" x14ac:dyDescent="0.25">
      <c r="M130">
        <v>2021</v>
      </c>
      <c r="N130" t="s">
        <v>2</v>
      </c>
      <c r="O130" t="s">
        <v>60</v>
      </c>
      <c r="P130" t="s">
        <v>35</v>
      </c>
      <c r="Q130">
        <v>0</v>
      </c>
      <c r="T130">
        <f>+estDD!C158</f>
        <v>2019</v>
      </c>
      <c r="U130">
        <f>+estDD!D158</f>
        <v>12.60109781548881</v>
      </c>
      <c r="V130" t="str">
        <f>+estDD!E158</f>
        <v>EU-Croatia</v>
      </c>
    </row>
    <row r="131" spans="13:22" x14ac:dyDescent="0.25">
      <c r="M131">
        <v>2022</v>
      </c>
      <c r="N131" t="s">
        <v>11</v>
      </c>
      <c r="O131" t="s">
        <v>60</v>
      </c>
      <c r="P131" t="s">
        <v>35</v>
      </c>
      <c r="Q131">
        <v>0</v>
      </c>
      <c r="T131">
        <f>+estDD!C159</f>
        <v>2020</v>
      </c>
      <c r="U131">
        <f>+estDD!D159</f>
        <v>9.2247686876824577</v>
      </c>
      <c r="V131" t="str">
        <f>+estDD!E159</f>
        <v>EU-Croatia</v>
      </c>
    </row>
    <row r="132" spans="13:22" x14ac:dyDescent="0.25">
      <c r="M132">
        <v>2023</v>
      </c>
      <c r="N132" t="s">
        <v>11</v>
      </c>
      <c r="O132" t="s">
        <v>60</v>
      </c>
      <c r="P132" t="s">
        <v>35</v>
      </c>
      <c r="Q132">
        <v>0</v>
      </c>
      <c r="T132">
        <f>+estDD!C160</f>
        <v>2021</v>
      </c>
      <c r="U132">
        <f>+estDD!D160</f>
        <v>9.7333792945390893</v>
      </c>
      <c r="V132" t="str">
        <f>+estDD!E160</f>
        <v>EU-Croatia</v>
      </c>
    </row>
    <row r="133" spans="13:22" x14ac:dyDescent="0.25">
      <c r="M133">
        <v>2024</v>
      </c>
      <c r="N133" t="s">
        <v>11</v>
      </c>
      <c r="O133" t="s">
        <v>60</v>
      </c>
      <c r="P133" t="s">
        <v>35</v>
      </c>
      <c r="Q133">
        <v>0</v>
      </c>
      <c r="T133">
        <f>+estDD!C161</f>
        <v>2022</v>
      </c>
      <c r="U133">
        <f>+estDD!D161</f>
        <v>14.992376932262577</v>
      </c>
      <c r="V133" t="str">
        <f>+estDD!E161</f>
        <v>EU-Croatia</v>
      </c>
    </row>
    <row r="134" spans="13:22" x14ac:dyDescent="0.25">
      <c r="M134">
        <v>2014</v>
      </c>
      <c r="N134" t="s">
        <v>4</v>
      </c>
      <c r="O134" t="s">
        <v>60</v>
      </c>
      <c r="P134" t="s">
        <v>35</v>
      </c>
      <c r="Q134">
        <v>0</v>
      </c>
      <c r="T134">
        <f>+estDD!C162</f>
        <v>2023</v>
      </c>
      <c r="U134">
        <f>+estDD!D162</f>
        <v>15.786919682038343</v>
      </c>
      <c r="V134" t="str">
        <f>+estDD!E162</f>
        <v>EU-Croatia</v>
      </c>
    </row>
    <row r="135" spans="13:22" x14ac:dyDescent="0.25">
      <c r="M135">
        <v>2022</v>
      </c>
      <c r="N135" t="s">
        <v>11</v>
      </c>
      <c r="O135" t="s">
        <v>61</v>
      </c>
      <c r="P135" t="s">
        <v>35</v>
      </c>
      <c r="Q135">
        <v>0</v>
      </c>
      <c r="T135">
        <f>+estDD!C163</f>
        <v>2024</v>
      </c>
      <c r="U135">
        <f>+estDD!D163</f>
        <v>15.491497170832858</v>
      </c>
      <c r="V135" t="str">
        <f>+estDD!E163</f>
        <v>EU-Croatia</v>
      </c>
    </row>
    <row r="136" spans="13:22" x14ac:dyDescent="0.25">
      <c r="M136">
        <v>2023</v>
      </c>
      <c r="N136" t="s">
        <v>11</v>
      </c>
      <c r="O136" t="s">
        <v>61</v>
      </c>
      <c r="P136" t="s">
        <v>35</v>
      </c>
      <c r="Q136">
        <v>0</v>
      </c>
      <c r="T136">
        <f>+estDD!C164</f>
        <v>2014</v>
      </c>
      <c r="U136">
        <f>+estDD!D164</f>
        <v>4.1739730381754332E-2</v>
      </c>
      <c r="V136" t="str">
        <f>+estDD!E164</f>
        <v>Egypt</v>
      </c>
    </row>
    <row r="137" spans="13:22" x14ac:dyDescent="0.25">
      <c r="M137">
        <v>2024</v>
      </c>
      <c r="N137" t="s">
        <v>11</v>
      </c>
      <c r="O137" t="s">
        <v>61</v>
      </c>
      <c r="P137" t="s">
        <v>35</v>
      </c>
      <c r="Q137">
        <v>0</v>
      </c>
      <c r="T137">
        <f>+estDD!C165</f>
        <v>2015</v>
      </c>
      <c r="U137">
        <f>+estDD!D165</f>
        <v>0</v>
      </c>
      <c r="V137" t="str">
        <f>+estDD!E165</f>
        <v>Egypt</v>
      </c>
    </row>
    <row r="138" spans="13:22" x14ac:dyDescent="0.25">
      <c r="M138">
        <v>2011</v>
      </c>
      <c r="N138" t="s">
        <v>6</v>
      </c>
      <c r="O138" t="s">
        <v>62</v>
      </c>
      <c r="P138" t="s">
        <v>35</v>
      </c>
      <c r="Q138">
        <v>0</v>
      </c>
      <c r="T138">
        <f>+estDD!C166</f>
        <v>2016</v>
      </c>
      <c r="U138">
        <f>+estDD!D166</f>
        <v>0</v>
      </c>
      <c r="V138" t="str">
        <f>+estDD!E166</f>
        <v>Egypt</v>
      </c>
    </row>
    <row r="139" spans="13:22" x14ac:dyDescent="0.25">
      <c r="M139">
        <v>2020</v>
      </c>
      <c r="N139" t="s">
        <v>6</v>
      </c>
      <c r="O139" t="s">
        <v>62</v>
      </c>
      <c r="P139" t="s">
        <v>35</v>
      </c>
      <c r="Q139">
        <v>0</v>
      </c>
      <c r="T139">
        <f>+estDD!C167</f>
        <v>2017</v>
      </c>
      <c r="U139">
        <f>+estDD!D167</f>
        <v>0</v>
      </c>
      <c r="V139" t="str">
        <f>+estDD!E167</f>
        <v>Egypt</v>
      </c>
    </row>
    <row r="140" spans="13:22" x14ac:dyDescent="0.25">
      <c r="M140">
        <v>2022</v>
      </c>
      <c r="N140" t="s">
        <v>11</v>
      </c>
      <c r="O140" t="s">
        <v>62</v>
      </c>
      <c r="P140" t="s">
        <v>35</v>
      </c>
      <c r="Q140">
        <v>0</v>
      </c>
      <c r="T140">
        <f>+estDD!C168</f>
        <v>2018</v>
      </c>
      <c r="U140">
        <f>+estDD!D168</f>
        <v>1.5512770894309487</v>
      </c>
      <c r="V140" t="str">
        <f>+estDD!E168</f>
        <v>Egypt</v>
      </c>
    </row>
    <row r="141" spans="13:22" x14ac:dyDescent="0.25">
      <c r="M141">
        <v>2023</v>
      </c>
      <c r="N141" t="s">
        <v>11</v>
      </c>
      <c r="O141" t="s">
        <v>62</v>
      </c>
      <c r="P141" t="s">
        <v>35</v>
      </c>
      <c r="Q141">
        <v>0</v>
      </c>
      <c r="T141">
        <f>+estDD!C169</f>
        <v>2019</v>
      </c>
      <c r="U141">
        <f>+estDD!D169</f>
        <v>0</v>
      </c>
      <c r="V141" t="str">
        <f>+estDD!E169</f>
        <v>Egypt</v>
      </c>
    </row>
    <row r="142" spans="13:22" x14ac:dyDescent="0.25">
      <c r="M142">
        <v>2024</v>
      </c>
      <c r="N142" t="s">
        <v>11</v>
      </c>
      <c r="O142" t="s">
        <v>62</v>
      </c>
      <c r="P142" t="s">
        <v>35</v>
      </c>
      <c r="Q142">
        <v>0</v>
      </c>
      <c r="T142">
        <f>+estDD!C170</f>
        <v>2020</v>
      </c>
      <c r="U142">
        <f>+estDD!D170</f>
        <v>1.5512770894309487</v>
      </c>
      <c r="V142" t="str">
        <f>+estDD!E170</f>
        <v>Egypt</v>
      </c>
    </row>
    <row r="143" spans="13:22" x14ac:dyDescent="0.25">
      <c r="M143">
        <v>2022</v>
      </c>
      <c r="N143" t="s">
        <v>11</v>
      </c>
      <c r="O143" t="s">
        <v>63</v>
      </c>
      <c r="P143" t="s">
        <v>35</v>
      </c>
      <c r="Q143">
        <v>0</v>
      </c>
      <c r="T143">
        <f>+estDD!C171</f>
        <v>2021</v>
      </c>
      <c r="U143">
        <f>+estDD!D171</f>
        <v>2.7147349065041602</v>
      </c>
      <c r="V143" t="str">
        <f>+estDD!E171</f>
        <v>Egypt</v>
      </c>
    </row>
    <row r="144" spans="13:22" x14ac:dyDescent="0.25">
      <c r="M144">
        <v>2023</v>
      </c>
      <c r="N144" t="s">
        <v>11</v>
      </c>
      <c r="O144" t="s">
        <v>63</v>
      </c>
      <c r="P144" t="s">
        <v>35</v>
      </c>
      <c r="Q144">
        <v>0</v>
      </c>
      <c r="T144">
        <f>+estDD!C172</f>
        <v>2022</v>
      </c>
      <c r="U144">
        <f>+estDD!D172</f>
        <v>10.083301081301167</v>
      </c>
      <c r="V144" t="str">
        <f>+estDD!E172</f>
        <v>Egypt</v>
      </c>
    </row>
    <row r="145" spans="13:22" x14ac:dyDescent="0.25">
      <c r="M145">
        <v>2024</v>
      </c>
      <c r="N145" t="s">
        <v>11</v>
      </c>
      <c r="O145" t="s">
        <v>63</v>
      </c>
      <c r="P145" t="s">
        <v>35</v>
      </c>
      <c r="Q145">
        <v>0</v>
      </c>
      <c r="T145">
        <f>+estDD!C173</f>
        <v>2023</v>
      </c>
      <c r="U145">
        <f>+estDD!D173</f>
        <v>28.310806882114814</v>
      </c>
      <c r="V145" t="str">
        <f>+estDD!E173</f>
        <v>Egypt</v>
      </c>
    </row>
    <row r="146" spans="13:22" x14ac:dyDescent="0.25">
      <c r="M146">
        <v>2014</v>
      </c>
      <c r="N146" t="s">
        <v>11</v>
      </c>
      <c r="O146" t="s">
        <v>64</v>
      </c>
      <c r="P146" t="s">
        <v>36</v>
      </c>
      <c r="Q146">
        <v>0.35199999999999998</v>
      </c>
      <c r="T146">
        <f>+estDD!C174</f>
        <v>2024</v>
      </c>
      <c r="U146">
        <f>+estDD!D174</f>
        <v>38.781927235773722</v>
      </c>
      <c r="V146" t="str">
        <f>+estDD!E174</f>
        <v>Egypt</v>
      </c>
    </row>
    <row r="147" spans="13:22" x14ac:dyDescent="0.25">
      <c r="M147">
        <v>1989</v>
      </c>
      <c r="N147" t="s">
        <v>2</v>
      </c>
      <c r="O147" t="s">
        <v>56</v>
      </c>
      <c r="P147" t="s">
        <v>36</v>
      </c>
      <c r="Q147">
        <v>87</v>
      </c>
    </row>
    <row r="148" spans="13:22" x14ac:dyDescent="0.25">
      <c r="M148">
        <v>1990</v>
      </c>
      <c r="N148" t="s">
        <v>2</v>
      </c>
      <c r="O148" t="s">
        <v>56</v>
      </c>
      <c r="P148" t="s">
        <v>36</v>
      </c>
      <c r="Q148">
        <v>85</v>
      </c>
    </row>
    <row r="149" spans="13:22" x14ac:dyDescent="0.25">
      <c r="M149">
        <v>1991</v>
      </c>
      <c r="N149" t="s">
        <v>2</v>
      </c>
      <c r="O149" t="s">
        <v>56</v>
      </c>
      <c r="P149" t="s">
        <v>36</v>
      </c>
      <c r="Q149">
        <v>39</v>
      </c>
    </row>
    <row r="150" spans="13:22" x14ac:dyDescent="0.25">
      <c r="M150">
        <v>1992</v>
      </c>
      <c r="N150" t="s">
        <v>2</v>
      </c>
      <c r="O150" t="s">
        <v>56</v>
      </c>
      <c r="P150" t="s">
        <v>36</v>
      </c>
      <c r="Q150">
        <v>32</v>
      </c>
    </row>
    <row r="151" spans="13:22" x14ac:dyDescent="0.25">
      <c r="M151">
        <v>2020</v>
      </c>
      <c r="N151" t="s">
        <v>2</v>
      </c>
      <c r="O151" t="s">
        <v>56</v>
      </c>
      <c r="P151" t="s">
        <v>36</v>
      </c>
      <c r="Q151">
        <v>0</v>
      </c>
    </row>
    <row r="152" spans="13:22" x14ac:dyDescent="0.25">
      <c r="M152">
        <v>2022</v>
      </c>
      <c r="N152" t="s">
        <v>2</v>
      </c>
      <c r="O152" t="s">
        <v>56</v>
      </c>
      <c r="P152" t="s">
        <v>36</v>
      </c>
      <c r="Q152">
        <v>6.7500000000000004E-2</v>
      </c>
    </row>
    <row r="153" spans="13:22" x14ac:dyDescent="0.25">
      <c r="M153">
        <v>2023</v>
      </c>
      <c r="N153" t="s">
        <v>2</v>
      </c>
      <c r="O153" t="s">
        <v>56</v>
      </c>
      <c r="P153" t="s">
        <v>36</v>
      </c>
      <c r="Q153">
        <v>3.3750000000000002E-2</v>
      </c>
    </row>
    <row r="154" spans="13:22" x14ac:dyDescent="0.25">
      <c r="M154">
        <v>1957</v>
      </c>
      <c r="N154" t="s">
        <v>8</v>
      </c>
      <c r="O154" t="s">
        <v>56</v>
      </c>
      <c r="P154" t="s">
        <v>36</v>
      </c>
      <c r="Q154">
        <v>250.4</v>
      </c>
    </row>
    <row r="155" spans="13:22" x14ac:dyDescent="0.25">
      <c r="M155">
        <v>1958</v>
      </c>
      <c r="N155" t="s">
        <v>8</v>
      </c>
      <c r="O155" t="s">
        <v>56</v>
      </c>
      <c r="P155" t="s">
        <v>36</v>
      </c>
      <c r="Q155">
        <v>500</v>
      </c>
    </row>
    <row r="156" spans="13:22" x14ac:dyDescent="0.25">
      <c r="M156">
        <v>1959</v>
      </c>
      <c r="N156" t="s">
        <v>8</v>
      </c>
      <c r="O156" t="s">
        <v>56</v>
      </c>
      <c r="P156" t="s">
        <v>36</v>
      </c>
      <c r="Q156">
        <v>200</v>
      </c>
    </row>
    <row r="157" spans="13:22" x14ac:dyDescent="0.25">
      <c r="M157">
        <v>1960</v>
      </c>
      <c r="N157" t="s">
        <v>8</v>
      </c>
      <c r="O157" t="s">
        <v>56</v>
      </c>
      <c r="P157" t="s">
        <v>36</v>
      </c>
      <c r="Q157">
        <v>112</v>
      </c>
    </row>
    <row r="158" spans="13:22" x14ac:dyDescent="0.25">
      <c r="M158">
        <v>1961</v>
      </c>
      <c r="N158" t="s">
        <v>8</v>
      </c>
      <c r="O158" t="s">
        <v>56</v>
      </c>
      <c r="P158" t="s">
        <v>36</v>
      </c>
      <c r="Q158">
        <v>112</v>
      </c>
    </row>
    <row r="159" spans="13:22" x14ac:dyDescent="0.25">
      <c r="M159">
        <v>1962</v>
      </c>
      <c r="N159" t="s">
        <v>8</v>
      </c>
      <c r="O159" t="s">
        <v>56</v>
      </c>
      <c r="P159" t="s">
        <v>36</v>
      </c>
      <c r="Q159">
        <v>112</v>
      </c>
    </row>
    <row r="160" spans="13:22" x14ac:dyDescent="0.25">
      <c r="M160">
        <v>1963</v>
      </c>
      <c r="N160" t="s">
        <v>8</v>
      </c>
      <c r="O160" t="s">
        <v>56</v>
      </c>
      <c r="P160" t="s">
        <v>36</v>
      </c>
      <c r="Q160">
        <v>224</v>
      </c>
    </row>
    <row r="161" spans="13:17" x14ac:dyDescent="0.25">
      <c r="M161">
        <v>1964</v>
      </c>
      <c r="N161" t="s">
        <v>8</v>
      </c>
      <c r="O161" t="s">
        <v>56</v>
      </c>
      <c r="P161" t="s">
        <v>36</v>
      </c>
      <c r="Q161">
        <v>112</v>
      </c>
    </row>
    <row r="162" spans="13:17" x14ac:dyDescent="0.25">
      <c r="M162">
        <v>1965</v>
      </c>
      <c r="N162" t="s">
        <v>8</v>
      </c>
      <c r="O162" t="s">
        <v>56</v>
      </c>
      <c r="P162" t="s">
        <v>36</v>
      </c>
      <c r="Q162">
        <v>112</v>
      </c>
    </row>
    <row r="163" spans="13:17" x14ac:dyDescent="0.25">
      <c r="M163">
        <v>1966</v>
      </c>
      <c r="N163" t="s">
        <v>8</v>
      </c>
      <c r="O163" t="s">
        <v>56</v>
      </c>
      <c r="P163" t="s">
        <v>36</v>
      </c>
      <c r="Q163">
        <v>336</v>
      </c>
    </row>
    <row r="164" spans="13:17" x14ac:dyDescent="0.25">
      <c r="M164">
        <v>1967</v>
      </c>
      <c r="N164" t="s">
        <v>8</v>
      </c>
      <c r="O164" t="s">
        <v>56</v>
      </c>
      <c r="P164" t="s">
        <v>36</v>
      </c>
      <c r="Q164">
        <v>111</v>
      </c>
    </row>
    <row r="165" spans="13:17" x14ac:dyDescent="0.25">
      <c r="M165">
        <v>1968</v>
      </c>
      <c r="N165" t="s">
        <v>8</v>
      </c>
      <c r="O165" t="s">
        <v>56</v>
      </c>
      <c r="P165" t="s">
        <v>36</v>
      </c>
      <c r="Q165">
        <v>115</v>
      </c>
    </row>
    <row r="166" spans="13:17" x14ac:dyDescent="0.25">
      <c r="M166">
        <v>1969</v>
      </c>
      <c r="N166" t="s">
        <v>8</v>
      </c>
      <c r="O166" t="s">
        <v>56</v>
      </c>
      <c r="P166" t="s">
        <v>36</v>
      </c>
      <c r="Q166">
        <v>133</v>
      </c>
    </row>
    <row r="167" spans="13:17" x14ac:dyDescent="0.25">
      <c r="M167">
        <v>1970</v>
      </c>
      <c r="N167" t="s">
        <v>8</v>
      </c>
      <c r="O167" t="s">
        <v>56</v>
      </c>
      <c r="P167" t="s">
        <v>36</v>
      </c>
      <c r="Q167">
        <v>99</v>
      </c>
    </row>
    <row r="168" spans="13:17" x14ac:dyDescent="0.25">
      <c r="M168">
        <v>1971</v>
      </c>
      <c r="N168" t="s">
        <v>8</v>
      </c>
      <c r="O168" t="s">
        <v>56</v>
      </c>
      <c r="P168" t="s">
        <v>36</v>
      </c>
      <c r="Q168">
        <v>76</v>
      </c>
    </row>
    <row r="169" spans="13:17" x14ac:dyDescent="0.25">
      <c r="M169">
        <v>1972</v>
      </c>
      <c r="N169" t="s">
        <v>8</v>
      </c>
      <c r="O169" t="s">
        <v>56</v>
      </c>
      <c r="P169" t="s">
        <v>36</v>
      </c>
      <c r="Q169">
        <v>60</v>
      </c>
    </row>
    <row r="170" spans="13:17" x14ac:dyDescent="0.25">
      <c r="M170">
        <v>1973</v>
      </c>
      <c r="N170" t="s">
        <v>8</v>
      </c>
      <c r="O170" t="s">
        <v>56</v>
      </c>
      <c r="P170" t="s">
        <v>36</v>
      </c>
      <c r="Q170">
        <v>59</v>
      </c>
    </row>
    <row r="171" spans="13:17" x14ac:dyDescent="0.25">
      <c r="M171">
        <v>1974</v>
      </c>
      <c r="N171" t="s">
        <v>8</v>
      </c>
      <c r="O171" t="s">
        <v>56</v>
      </c>
      <c r="P171" t="s">
        <v>36</v>
      </c>
      <c r="Q171">
        <v>15</v>
      </c>
    </row>
    <row r="172" spans="13:17" x14ac:dyDescent="0.25">
      <c r="M172">
        <v>1975</v>
      </c>
      <c r="N172" t="s">
        <v>8</v>
      </c>
      <c r="O172" t="s">
        <v>56</v>
      </c>
      <c r="P172" t="s">
        <v>36</v>
      </c>
      <c r="Q172">
        <v>10</v>
      </c>
    </row>
    <row r="173" spans="13:17" x14ac:dyDescent="0.25">
      <c r="M173">
        <v>1976</v>
      </c>
      <c r="N173" t="s">
        <v>8</v>
      </c>
      <c r="O173" t="s">
        <v>56</v>
      </c>
      <c r="P173" t="s">
        <v>36</v>
      </c>
      <c r="Q173">
        <v>7</v>
      </c>
    </row>
    <row r="174" spans="13:17" x14ac:dyDescent="0.25">
      <c r="M174">
        <v>1977</v>
      </c>
      <c r="N174" t="s">
        <v>8</v>
      </c>
      <c r="O174" t="s">
        <v>56</v>
      </c>
      <c r="P174" t="s">
        <v>36</v>
      </c>
      <c r="Q174">
        <v>34</v>
      </c>
    </row>
    <row r="175" spans="13:17" x14ac:dyDescent="0.25">
      <c r="M175">
        <v>1978</v>
      </c>
      <c r="N175" t="s">
        <v>8</v>
      </c>
      <c r="O175" t="s">
        <v>56</v>
      </c>
      <c r="P175" t="s">
        <v>36</v>
      </c>
      <c r="Q175">
        <v>20</v>
      </c>
    </row>
    <row r="176" spans="13:17" x14ac:dyDescent="0.25">
      <c r="M176">
        <v>1979</v>
      </c>
      <c r="N176" t="s">
        <v>8</v>
      </c>
      <c r="O176" t="s">
        <v>56</v>
      </c>
      <c r="P176" t="s">
        <v>36</v>
      </c>
      <c r="Q176">
        <v>44</v>
      </c>
    </row>
    <row r="177" spans="13:17" x14ac:dyDescent="0.25">
      <c r="M177">
        <v>1980</v>
      </c>
      <c r="N177" t="s">
        <v>8</v>
      </c>
      <c r="O177" t="s">
        <v>56</v>
      </c>
      <c r="P177" t="s">
        <v>36</v>
      </c>
      <c r="Q177">
        <v>13</v>
      </c>
    </row>
    <row r="178" spans="13:17" x14ac:dyDescent="0.25">
      <c r="M178">
        <v>1981</v>
      </c>
      <c r="N178" t="s">
        <v>8</v>
      </c>
      <c r="O178" t="s">
        <v>56</v>
      </c>
      <c r="P178" t="s">
        <v>36</v>
      </c>
      <c r="Q178">
        <v>70</v>
      </c>
    </row>
    <row r="179" spans="13:17" x14ac:dyDescent="0.25">
      <c r="M179">
        <v>1982</v>
      </c>
      <c r="N179" t="s">
        <v>8</v>
      </c>
      <c r="O179" t="s">
        <v>56</v>
      </c>
      <c r="P179" t="s">
        <v>36</v>
      </c>
      <c r="Q179">
        <v>40</v>
      </c>
    </row>
    <row r="180" spans="13:17" x14ac:dyDescent="0.25">
      <c r="M180">
        <v>1983</v>
      </c>
      <c r="N180" t="s">
        <v>8</v>
      </c>
      <c r="O180" t="s">
        <v>56</v>
      </c>
      <c r="P180" t="s">
        <v>36</v>
      </c>
      <c r="Q180">
        <v>216</v>
      </c>
    </row>
    <row r="181" spans="13:17" x14ac:dyDescent="0.25">
      <c r="M181">
        <v>1984</v>
      </c>
      <c r="N181" t="s">
        <v>8</v>
      </c>
      <c r="O181" t="s">
        <v>56</v>
      </c>
      <c r="P181" t="s">
        <v>36</v>
      </c>
      <c r="Q181">
        <v>95</v>
      </c>
    </row>
    <row r="182" spans="13:17" x14ac:dyDescent="0.25">
      <c r="M182">
        <v>1985</v>
      </c>
      <c r="N182" t="s">
        <v>8</v>
      </c>
      <c r="O182" t="s">
        <v>56</v>
      </c>
      <c r="P182" t="s">
        <v>36</v>
      </c>
      <c r="Q182">
        <v>190</v>
      </c>
    </row>
    <row r="183" spans="13:17" x14ac:dyDescent="0.25">
      <c r="M183">
        <v>1986</v>
      </c>
      <c r="N183" t="s">
        <v>8</v>
      </c>
      <c r="O183" t="s">
        <v>56</v>
      </c>
      <c r="P183" t="s">
        <v>36</v>
      </c>
      <c r="Q183">
        <v>226</v>
      </c>
    </row>
    <row r="184" spans="13:17" x14ac:dyDescent="0.25">
      <c r="M184">
        <v>1987</v>
      </c>
      <c r="N184" t="s">
        <v>8</v>
      </c>
      <c r="O184" t="s">
        <v>56</v>
      </c>
      <c r="P184" t="s">
        <v>36</v>
      </c>
      <c r="Q184">
        <v>557</v>
      </c>
    </row>
    <row r="185" spans="13:17" x14ac:dyDescent="0.25">
      <c r="M185">
        <v>1988</v>
      </c>
      <c r="N185" t="s">
        <v>8</v>
      </c>
      <c r="O185" t="s">
        <v>56</v>
      </c>
      <c r="P185" t="s">
        <v>36</v>
      </c>
      <c r="Q185">
        <v>589</v>
      </c>
    </row>
    <row r="186" spans="13:17" x14ac:dyDescent="0.25">
      <c r="M186">
        <v>1989</v>
      </c>
      <c r="N186" t="s">
        <v>8</v>
      </c>
      <c r="O186" t="s">
        <v>56</v>
      </c>
      <c r="P186" t="s">
        <v>36</v>
      </c>
      <c r="Q186">
        <v>209</v>
      </c>
    </row>
    <row r="187" spans="13:17" x14ac:dyDescent="0.25">
      <c r="M187">
        <v>1990</v>
      </c>
      <c r="N187" t="s">
        <v>8</v>
      </c>
      <c r="O187" t="s">
        <v>56</v>
      </c>
      <c r="P187" t="s">
        <v>36</v>
      </c>
      <c r="Q187">
        <v>243</v>
      </c>
    </row>
    <row r="188" spans="13:17" x14ac:dyDescent="0.25">
      <c r="M188">
        <v>1991</v>
      </c>
      <c r="N188" t="s">
        <v>8</v>
      </c>
      <c r="O188" t="s">
        <v>56</v>
      </c>
      <c r="P188" t="s">
        <v>36</v>
      </c>
      <c r="Q188">
        <v>100</v>
      </c>
    </row>
    <row r="189" spans="13:17" x14ac:dyDescent="0.25">
      <c r="M189">
        <v>1992</v>
      </c>
      <c r="N189" t="s">
        <v>8</v>
      </c>
      <c r="O189" t="s">
        <v>56</v>
      </c>
      <c r="P189" t="s">
        <v>36</v>
      </c>
      <c r="Q189">
        <v>136</v>
      </c>
    </row>
    <row r="190" spans="13:17" x14ac:dyDescent="0.25">
      <c r="M190">
        <v>1993</v>
      </c>
      <c r="N190" t="s">
        <v>8</v>
      </c>
      <c r="O190" t="s">
        <v>56</v>
      </c>
      <c r="P190" t="s">
        <v>36</v>
      </c>
      <c r="Q190">
        <v>292</v>
      </c>
    </row>
    <row r="191" spans="13:17" x14ac:dyDescent="0.25">
      <c r="M191">
        <v>1994</v>
      </c>
      <c r="N191" t="s">
        <v>8</v>
      </c>
      <c r="O191" t="s">
        <v>56</v>
      </c>
      <c r="P191" t="s">
        <v>36</v>
      </c>
      <c r="Q191">
        <v>533</v>
      </c>
    </row>
    <row r="192" spans="13:17" x14ac:dyDescent="0.25">
      <c r="M192">
        <v>1995</v>
      </c>
      <c r="N192" t="s">
        <v>8</v>
      </c>
      <c r="O192" t="s">
        <v>56</v>
      </c>
      <c r="P192" t="s">
        <v>36</v>
      </c>
      <c r="Q192">
        <v>306</v>
      </c>
    </row>
    <row r="193" spans="13:17" x14ac:dyDescent="0.25">
      <c r="M193">
        <v>1996</v>
      </c>
      <c r="N193" t="s">
        <v>8</v>
      </c>
      <c r="O193" t="s">
        <v>56</v>
      </c>
      <c r="P193" t="s">
        <v>36</v>
      </c>
      <c r="Q193">
        <v>320</v>
      </c>
    </row>
    <row r="194" spans="13:17" x14ac:dyDescent="0.25">
      <c r="M194">
        <v>1997</v>
      </c>
      <c r="N194" t="s">
        <v>8</v>
      </c>
      <c r="O194" t="s">
        <v>56</v>
      </c>
      <c r="P194" t="s">
        <v>36</v>
      </c>
      <c r="Q194">
        <v>350</v>
      </c>
    </row>
    <row r="195" spans="13:17" x14ac:dyDescent="0.25">
      <c r="M195">
        <v>1998</v>
      </c>
      <c r="N195" t="s">
        <v>8</v>
      </c>
      <c r="O195" t="s">
        <v>56</v>
      </c>
      <c r="P195" t="s">
        <v>36</v>
      </c>
      <c r="Q195">
        <v>450</v>
      </c>
    </row>
    <row r="196" spans="13:17" x14ac:dyDescent="0.25">
      <c r="M196">
        <v>1999</v>
      </c>
      <c r="N196" t="s">
        <v>8</v>
      </c>
      <c r="O196" t="s">
        <v>56</v>
      </c>
      <c r="P196" t="s">
        <v>36</v>
      </c>
      <c r="Q196">
        <v>230</v>
      </c>
    </row>
    <row r="197" spans="13:17" x14ac:dyDescent="0.25">
      <c r="M197">
        <v>2000</v>
      </c>
      <c r="N197" t="s">
        <v>8</v>
      </c>
      <c r="O197" t="s">
        <v>56</v>
      </c>
      <c r="P197" t="s">
        <v>36</v>
      </c>
      <c r="Q197">
        <v>370</v>
      </c>
    </row>
    <row r="198" spans="13:17" x14ac:dyDescent="0.25">
      <c r="M198">
        <v>2001</v>
      </c>
      <c r="N198" t="s">
        <v>8</v>
      </c>
      <c r="O198" t="s">
        <v>56</v>
      </c>
      <c r="P198" t="s">
        <v>36</v>
      </c>
      <c r="Q198">
        <v>360</v>
      </c>
    </row>
    <row r="199" spans="13:17" x14ac:dyDescent="0.25">
      <c r="M199">
        <v>2002</v>
      </c>
      <c r="N199" t="s">
        <v>8</v>
      </c>
      <c r="O199" t="s">
        <v>56</v>
      </c>
      <c r="P199" t="s">
        <v>36</v>
      </c>
      <c r="Q199">
        <v>300</v>
      </c>
    </row>
    <row r="200" spans="13:17" x14ac:dyDescent="0.25">
      <c r="M200">
        <v>2003</v>
      </c>
      <c r="N200" t="s">
        <v>8</v>
      </c>
      <c r="O200" t="s">
        <v>56</v>
      </c>
      <c r="P200" t="s">
        <v>36</v>
      </c>
      <c r="Q200">
        <v>274</v>
      </c>
    </row>
    <row r="201" spans="13:17" x14ac:dyDescent="0.25">
      <c r="M201">
        <v>2004</v>
      </c>
      <c r="N201" t="s">
        <v>8</v>
      </c>
      <c r="O201" t="s">
        <v>56</v>
      </c>
      <c r="P201" t="s">
        <v>36</v>
      </c>
      <c r="Q201">
        <v>317</v>
      </c>
    </row>
    <row r="202" spans="13:17" x14ac:dyDescent="0.25">
      <c r="M202">
        <v>2005</v>
      </c>
      <c r="N202" t="s">
        <v>8</v>
      </c>
      <c r="O202" t="s">
        <v>56</v>
      </c>
      <c r="P202" t="s">
        <v>36</v>
      </c>
      <c r="Q202">
        <v>341</v>
      </c>
    </row>
    <row r="203" spans="13:17" x14ac:dyDescent="0.25">
      <c r="M203">
        <v>2006</v>
      </c>
      <c r="N203" t="s">
        <v>8</v>
      </c>
      <c r="O203" t="s">
        <v>56</v>
      </c>
      <c r="P203" t="s">
        <v>36</v>
      </c>
      <c r="Q203">
        <v>337</v>
      </c>
    </row>
    <row r="204" spans="13:17" x14ac:dyDescent="0.25">
      <c r="M204">
        <v>2007</v>
      </c>
      <c r="N204" t="s">
        <v>8</v>
      </c>
      <c r="O204" t="s">
        <v>56</v>
      </c>
      <c r="P204" t="s">
        <v>36</v>
      </c>
      <c r="Q204">
        <v>352</v>
      </c>
    </row>
    <row r="205" spans="13:17" x14ac:dyDescent="0.25">
      <c r="M205">
        <v>1990</v>
      </c>
      <c r="N205" t="s">
        <v>6</v>
      </c>
      <c r="O205" t="s">
        <v>56</v>
      </c>
      <c r="P205" t="s">
        <v>36</v>
      </c>
      <c r="Q205">
        <v>539</v>
      </c>
    </row>
    <row r="206" spans="13:17" x14ac:dyDescent="0.25">
      <c r="M206">
        <v>1991</v>
      </c>
      <c r="N206" t="s">
        <v>6</v>
      </c>
      <c r="O206" t="s">
        <v>56</v>
      </c>
      <c r="P206" t="s">
        <v>36</v>
      </c>
      <c r="Q206">
        <v>389</v>
      </c>
    </row>
    <row r="207" spans="13:17" x14ac:dyDescent="0.25">
      <c r="M207">
        <v>1992</v>
      </c>
      <c r="N207" t="s">
        <v>6</v>
      </c>
      <c r="O207" t="s">
        <v>56</v>
      </c>
      <c r="P207" t="s">
        <v>36</v>
      </c>
      <c r="Q207">
        <v>389</v>
      </c>
    </row>
    <row r="208" spans="13:17" x14ac:dyDescent="0.25">
      <c r="M208">
        <v>1993</v>
      </c>
      <c r="N208" t="s">
        <v>6</v>
      </c>
      <c r="O208" t="s">
        <v>56</v>
      </c>
      <c r="P208" t="s">
        <v>36</v>
      </c>
      <c r="Q208">
        <v>389</v>
      </c>
    </row>
    <row r="209" spans="13:17" x14ac:dyDescent="0.25">
      <c r="M209">
        <v>1994</v>
      </c>
      <c r="N209" t="s">
        <v>6</v>
      </c>
      <c r="O209" t="s">
        <v>56</v>
      </c>
      <c r="P209" t="s">
        <v>36</v>
      </c>
      <c r="Q209">
        <v>415</v>
      </c>
    </row>
    <row r="210" spans="13:17" x14ac:dyDescent="0.25">
      <c r="M210">
        <v>1995</v>
      </c>
      <c r="N210" t="s">
        <v>6</v>
      </c>
      <c r="O210" t="s">
        <v>56</v>
      </c>
      <c r="P210" t="s">
        <v>36</v>
      </c>
      <c r="Q210">
        <v>560</v>
      </c>
    </row>
    <row r="211" spans="13:17" x14ac:dyDescent="0.25">
      <c r="M211">
        <v>1996</v>
      </c>
      <c r="N211" t="s">
        <v>6</v>
      </c>
      <c r="O211" t="s">
        <v>56</v>
      </c>
      <c r="P211" t="s">
        <v>36</v>
      </c>
      <c r="Q211">
        <v>560</v>
      </c>
    </row>
    <row r="212" spans="13:17" x14ac:dyDescent="0.25">
      <c r="M212">
        <v>1997</v>
      </c>
      <c r="N212" t="s">
        <v>6</v>
      </c>
      <c r="O212" t="s">
        <v>56</v>
      </c>
      <c r="P212" t="s">
        <v>36</v>
      </c>
      <c r="Q212">
        <v>560</v>
      </c>
    </row>
    <row r="213" spans="13:17" x14ac:dyDescent="0.25">
      <c r="M213">
        <v>1998</v>
      </c>
      <c r="N213" t="s">
        <v>6</v>
      </c>
      <c r="O213" t="s">
        <v>56</v>
      </c>
      <c r="P213" t="s">
        <v>36</v>
      </c>
      <c r="Q213">
        <v>590</v>
      </c>
    </row>
    <row r="214" spans="13:17" x14ac:dyDescent="0.25">
      <c r="M214">
        <v>1999</v>
      </c>
      <c r="N214" t="s">
        <v>6</v>
      </c>
      <c r="O214" t="s">
        <v>56</v>
      </c>
      <c r="P214" t="s">
        <v>36</v>
      </c>
      <c r="Q214">
        <v>531</v>
      </c>
    </row>
    <row r="215" spans="13:17" x14ac:dyDescent="0.25">
      <c r="M215">
        <v>2000</v>
      </c>
      <c r="N215" t="s">
        <v>6</v>
      </c>
      <c r="O215" t="s">
        <v>56</v>
      </c>
      <c r="P215" t="s">
        <v>36</v>
      </c>
      <c r="Q215">
        <v>599</v>
      </c>
    </row>
    <row r="216" spans="13:17" x14ac:dyDescent="0.25">
      <c r="M216">
        <v>2001</v>
      </c>
      <c r="N216" t="s">
        <v>6</v>
      </c>
      <c r="O216" t="s">
        <v>56</v>
      </c>
      <c r="P216" t="s">
        <v>36</v>
      </c>
      <c r="Q216">
        <v>642</v>
      </c>
    </row>
    <row r="217" spans="13:17" x14ac:dyDescent="0.25">
      <c r="M217">
        <v>2002</v>
      </c>
      <c r="N217" t="s">
        <v>6</v>
      </c>
      <c r="O217" t="s">
        <v>56</v>
      </c>
      <c r="P217" t="s">
        <v>36</v>
      </c>
      <c r="Q217">
        <v>467</v>
      </c>
    </row>
    <row r="218" spans="13:17" x14ac:dyDescent="0.25">
      <c r="M218">
        <v>2003</v>
      </c>
      <c r="N218" t="s">
        <v>6</v>
      </c>
      <c r="O218" t="s">
        <v>56</v>
      </c>
      <c r="P218" t="s">
        <v>36</v>
      </c>
      <c r="Q218">
        <v>427</v>
      </c>
    </row>
    <row r="219" spans="13:17" x14ac:dyDescent="0.25">
      <c r="M219">
        <v>2004</v>
      </c>
      <c r="N219" t="s">
        <v>6</v>
      </c>
      <c r="O219" t="s">
        <v>56</v>
      </c>
      <c r="P219" t="s">
        <v>36</v>
      </c>
      <c r="Q219">
        <v>233</v>
      </c>
    </row>
    <row r="220" spans="13:17" x14ac:dyDescent="0.25">
      <c r="M220">
        <v>2005</v>
      </c>
      <c r="N220" t="s">
        <v>6</v>
      </c>
      <c r="O220" t="s">
        <v>56</v>
      </c>
      <c r="P220" t="s">
        <v>36</v>
      </c>
      <c r="Q220">
        <v>311</v>
      </c>
    </row>
    <row r="221" spans="13:17" x14ac:dyDescent="0.25">
      <c r="M221">
        <v>2006</v>
      </c>
      <c r="N221" t="s">
        <v>6</v>
      </c>
      <c r="O221" t="s">
        <v>56</v>
      </c>
      <c r="P221" t="s">
        <v>36</v>
      </c>
      <c r="Q221">
        <v>87</v>
      </c>
    </row>
    <row r="222" spans="13:17" x14ac:dyDescent="0.25">
      <c r="M222">
        <v>2007</v>
      </c>
      <c r="N222" t="s">
        <v>6</v>
      </c>
      <c r="O222" t="s">
        <v>56</v>
      </c>
      <c r="P222" t="s">
        <v>36</v>
      </c>
      <c r="Q222">
        <v>108</v>
      </c>
    </row>
    <row r="223" spans="13:17" x14ac:dyDescent="0.25">
      <c r="M223">
        <v>2011</v>
      </c>
      <c r="N223" t="s">
        <v>12</v>
      </c>
      <c r="O223" t="s">
        <v>56</v>
      </c>
      <c r="P223" t="s">
        <v>36</v>
      </c>
      <c r="Q223">
        <v>5.1999999999999998E-2</v>
      </c>
    </row>
    <row r="224" spans="13:17" x14ac:dyDescent="0.25">
      <c r="M224">
        <v>2012</v>
      </c>
      <c r="N224" t="s">
        <v>12</v>
      </c>
      <c r="O224" t="s">
        <v>56</v>
      </c>
      <c r="P224" t="s">
        <v>36</v>
      </c>
      <c r="Q224">
        <v>0</v>
      </c>
    </row>
    <row r="225" spans="13:17" x14ac:dyDescent="0.25">
      <c r="M225">
        <v>2013</v>
      </c>
      <c r="N225" t="s">
        <v>12</v>
      </c>
      <c r="O225" t="s">
        <v>56</v>
      </c>
      <c r="P225" t="s">
        <v>36</v>
      </c>
      <c r="Q225">
        <v>6.4000000000000001E-2</v>
      </c>
    </row>
    <row r="226" spans="13:17" x14ac:dyDescent="0.25">
      <c r="M226">
        <v>2014</v>
      </c>
      <c r="N226" t="s">
        <v>12</v>
      </c>
      <c r="O226" t="s">
        <v>56</v>
      </c>
      <c r="P226" t="s">
        <v>36</v>
      </c>
      <c r="Q226">
        <v>3.0800000000000001E-2</v>
      </c>
    </row>
    <row r="227" spans="13:17" x14ac:dyDescent="0.25">
      <c r="M227">
        <v>2015</v>
      </c>
      <c r="N227" t="s">
        <v>12</v>
      </c>
      <c r="O227" t="s">
        <v>56</v>
      </c>
      <c r="P227" t="s">
        <v>36</v>
      </c>
      <c r="Q227">
        <v>3.7999999999999999E-2</v>
      </c>
    </row>
    <row r="228" spans="13:17" x14ac:dyDescent="0.25">
      <c r="M228">
        <v>2016</v>
      </c>
      <c r="N228" t="s">
        <v>12</v>
      </c>
      <c r="O228" t="s">
        <v>56</v>
      </c>
      <c r="P228" t="s">
        <v>36</v>
      </c>
      <c r="Q228">
        <v>8.7999999999999995E-2</v>
      </c>
    </row>
    <row r="229" spans="13:17" x14ac:dyDescent="0.25">
      <c r="M229">
        <v>2019</v>
      </c>
      <c r="N229" t="s">
        <v>12</v>
      </c>
      <c r="O229" t="s">
        <v>56</v>
      </c>
      <c r="P229" t="s">
        <v>36</v>
      </c>
      <c r="Q229">
        <v>1.6E-2</v>
      </c>
    </row>
    <row r="230" spans="13:17" x14ac:dyDescent="0.25">
      <c r="M230">
        <v>2009</v>
      </c>
      <c r="N230" t="s">
        <v>11</v>
      </c>
      <c r="O230" t="s">
        <v>56</v>
      </c>
      <c r="P230" t="s">
        <v>36</v>
      </c>
      <c r="Q230">
        <v>0.18345</v>
      </c>
    </row>
    <row r="231" spans="13:17" x14ac:dyDescent="0.25">
      <c r="M231">
        <v>2010</v>
      </c>
      <c r="N231" t="s">
        <v>11</v>
      </c>
      <c r="O231" t="s">
        <v>56</v>
      </c>
      <c r="P231" t="s">
        <v>36</v>
      </c>
      <c r="Q231">
        <v>0.52885000000000004</v>
      </c>
    </row>
    <row r="232" spans="13:17" x14ac:dyDescent="0.25">
      <c r="M232">
        <v>2011</v>
      </c>
      <c r="N232" t="s">
        <v>11</v>
      </c>
      <c r="O232" t="s">
        <v>56</v>
      </c>
      <c r="P232" t="s">
        <v>36</v>
      </c>
      <c r="Q232">
        <v>1.0798000000000001</v>
      </c>
    </row>
    <row r="233" spans="13:17" x14ac:dyDescent="0.25">
      <c r="M233">
        <v>2012</v>
      </c>
      <c r="N233" t="s">
        <v>11</v>
      </c>
      <c r="O233" t="s">
        <v>56</v>
      </c>
      <c r="P233" t="s">
        <v>36</v>
      </c>
      <c r="Q233">
        <v>0.14554</v>
      </c>
    </row>
    <row r="234" spans="13:17" x14ac:dyDescent="0.25">
      <c r="M234">
        <v>2013</v>
      </c>
      <c r="N234" t="s">
        <v>11</v>
      </c>
      <c r="O234" t="s">
        <v>56</v>
      </c>
      <c r="P234" t="s">
        <v>36</v>
      </c>
      <c r="Q234">
        <v>1.5778000000000001</v>
      </c>
    </row>
    <row r="235" spans="13:17" x14ac:dyDescent="0.25">
      <c r="M235">
        <v>2014</v>
      </c>
      <c r="N235" t="s">
        <v>11</v>
      </c>
      <c r="O235" t="s">
        <v>56</v>
      </c>
      <c r="P235" t="s">
        <v>36</v>
      </c>
      <c r="Q235">
        <v>2.65625</v>
      </c>
    </row>
    <row r="236" spans="13:17" x14ac:dyDescent="0.25">
      <c r="M236">
        <v>2015</v>
      </c>
      <c r="N236" t="s">
        <v>11</v>
      </c>
      <c r="O236" t="s">
        <v>56</v>
      </c>
      <c r="P236" t="s">
        <v>36</v>
      </c>
      <c r="Q236">
        <v>1.1408</v>
      </c>
    </row>
    <row r="237" spans="13:17" x14ac:dyDescent="0.25">
      <c r="M237">
        <v>2016</v>
      </c>
      <c r="N237" t="s">
        <v>11</v>
      </c>
      <c r="O237" t="s">
        <v>56</v>
      </c>
      <c r="P237" t="s">
        <v>36</v>
      </c>
      <c r="Q237">
        <v>0.2747</v>
      </c>
    </row>
    <row r="238" spans="13:17" x14ac:dyDescent="0.25">
      <c r="M238">
        <v>2018</v>
      </c>
      <c r="N238" t="s">
        <v>11</v>
      </c>
      <c r="O238" t="s">
        <v>56</v>
      </c>
      <c r="P238" t="s">
        <v>36</v>
      </c>
      <c r="Q238">
        <v>0.20899999999999999</v>
      </c>
    </row>
    <row r="239" spans="13:17" x14ac:dyDescent="0.25">
      <c r="M239">
        <v>2019</v>
      </c>
      <c r="N239" t="s">
        <v>11</v>
      </c>
      <c r="O239" t="s">
        <v>56</v>
      </c>
      <c r="P239" t="s">
        <v>36</v>
      </c>
      <c r="Q239">
        <v>0.11605</v>
      </c>
    </row>
    <row r="240" spans="13:17" x14ac:dyDescent="0.25">
      <c r="M240">
        <v>2020</v>
      </c>
      <c r="N240" t="s">
        <v>11</v>
      </c>
      <c r="O240" t="s">
        <v>56</v>
      </c>
      <c r="P240" t="s">
        <v>36</v>
      </c>
      <c r="Q240">
        <v>0.70694000000000001</v>
      </c>
    </row>
    <row r="241" spans="13:17" x14ac:dyDescent="0.25">
      <c r="M241">
        <v>2021</v>
      </c>
      <c r="N241" t="s">
        <v>11</v>
      </c>
      <c r="O241" t="s">
        <v>56</v>
      </c>
      <c r="P241" t="s">
        <v>36</v>
      </c>
      <c r="Q241">
        <v>1.014337</v>
      </c>
    </row>
    <row r="242" spans="13:17" x14ac:dyDescent="0.25">
      <c r="M242">
        <v>2022</v>
      </c>
      <c r="N242" t="s">
        <v>11</v>
      </c>
      <c r="O242" t="s">
        <v>56</v>
      </c>
      <c r="P242" t="s">
        <v>36</v>
      </c>
      <c r="Q242">
        <v>0.25532899999999997</v>
      </c>
    </row>
    <row r="243" spans="13:17" x14ac:dyDescent="0.25">
      <c r="M243">
        <v>2023</v>
      </c>
      <c r="N243" t="s">
        <v>11</v>
      </c>
      <c r="O243" t="s">
        <v>56</v>
      </c>
      <c r="P243" t="s">
        <v>36</v>
      </c>
      <c r="Q243">
        <v>0.14758499999999999</v>
      </c>
    </row>
    <row r="244" spans="13:17" x14ac:dyDescent="0.25">
      <c r="M244">
        <v>2024</v>
      </c>
      <c r="N244" t="s">
        <v>11</v>
      </c>
      <c r="O244" t="s">
        <v>56</v>
      </c>
      <c r="P244" t="s">
        <v>36</v>
      </c>
      <c r="Q244">
        <v>6.2576000000000007E-2</v>
      </c>
    </row>
    <row r="245" spans="13:17" x14ac:dyDescent="0.25">
      <c r="M245">
        <v>1972</v>
      </c>
      <c r="N245" t="s">
        <v>1</v>
      </c>
      <c r="O245" t="s">
        <v>56</v>
      </c>
      <c r="P245" t="s">
        <v>36</v>
      </c>
      <c r="Q245">
        <v>5187.3999999999996</v>
      </c>
    </row>
    <row r="246" spans="13:17" x14ac:dyDescent="0.25">
      <c r="M246">
        <v>1973</v>
      </c>
      <c r="N246" t="s">
        <v>1</v>
      </c>
      <c r="O246" t="s">
        <v>56</v>
      </c>
      <c r="P246" t="s">
        <v>36</v>
      </c>
      <c r="Q246">
        <v>3925.6</v>
      </c>
    </row>
    <row r="247" spans="13:17" x14ac:dyDescent="0.25">
      <c r="M247">
        <v>1974</v>
      </c>
      <c r="N247" t="s">
        <v>1</v>
      </c>
      <c r="O247" t="s">
        <v>56</v>
      </c>
      <c r="P247" t="s">
        <v>36</v>
      </c>
      <c r="Q247">
        <v>4669.1614</v>
      </c>
    </row>
    <row r="248" spans="13:17" x14ac:dyDescent="0.25">
      <c r="M248">
        <v>1975</v>
      </c>
      <c r="N248" t="s">
        <v>1</v>
      </c>
      <c r="O248" t="s">
        <v>56</v>
      </c>
      <c r="P248" t="s">
        <v>36</v>
      </c>
      <c r="Q248">
        <v>4208.5042999999996</v>
      </c>
    </row>
    <row r="249" spans="13:17" x14ac:dyDescent="0.25">
      <c r="M249">
        <v>1976</v>
      </c>
      <c r="N249" t="s">
        <v>1</v>
      </c>
      <c r="O249" t="s">
        <v>56</v>
      </c>
      <c r="P249" t="s">
        <v>36</v>
      </c>
      <c r="Q249">
        <v>4907.1428999999998</v>
      </c>
    </row>
    <row r="250" spans="13:17" x14ac:dyDescent="0.25">
      <c r="M250">
        <v>1977</v>
      </c>
      <c r="N250" t="s">
        <v>1</v>
      </c>
      <c r="O250" t="s">
        <v>56</v>
      </c>
      <c r="P250" t="s">
        <v>36</v>
      </c>
      <c r="Q250">
        <v>4757.1428999999998</v>
      </c>
    </row>
    <row r="251" spans="13:17" x14ac:dyDescent="0.25">
      <c r="M251">
        <v>1978</v>
      </c>
      <c r="N251" t="s">
        <v>1</v>
      </c>
      <c r="O251" t="s">
        <v>56</v>
      </c>
      <c r="P251" t="s">
        <v>36</v>
      </c>
      <c r="Q251">
        <v>5357.1428999999998</v>
      </c>
    </row>
    <row r="252" spans="13:17" x14ac:dyDescent="0.25">
      <c r="M252">
        <v>1979</v>
      </c>
      <c r="N252" t="s">
        <v>1</v>
      </c>
      <c r="O252" t="s">
        <v>56</v>
      </c>
      <c r="P252" t="s">
        <v>36</v>
      </c>
      <c r="Q252">
        <v>4935.7142999999996</v>
      </c>
    </row>
    <row r="253" spans="13:17" x14ac:dyDescent="0.25">
      <c r="M253">
        <v>1980</v>
      </c>
      <c r="N253" t="s">
        <v>1</v>
      </c>
      <c r="O253" t="s">
        <v>56</v>
      </c>
      <c r="P253" t="s">
        <v>36</v>
      </c>
      <c r="Q253">
        <v>5202.8571000000002</v>
      </c>
    </row>
    <row r="254" spans="13:17" x14ac:dyDescent="0.25">
      <c r="M254">
        <v>1981</v>
      </c>
      <c r="N254" t="s">
        <v>1</v>
      </c>
      <c r="O254" t="s">
        <v>56</v>
      </c>
      <c r="P254" t="s">
        <v>36</v>
      </c>
      <c r="Q254">
        <v>4802.8571000000002</v>
      </c>
    </row>
    <row r="255" spans="13:17" x14ac:dyDescent="0.25">
      <c r="M255">
        <v>1982</v>
      </c>
      <c r="N255" t="s">
        <v>1</v>
      </c>
      <c r="O255" t="s">
        <v>56</v>
      </c>
      <c r="P255" t="s">
        <v>36</v>
      </c>
      <c r="Q255">
        <v>3690</v>
      </c>
    </row>
    <row r="256" spans="13:17" x14ac:dyDescent="0.25">
      <c r="M256">
        <v>1983</v>
      </c>
      <c r="N256" t="s">
        <v>1</v>
      </c>
      <c r="O256" t="s">
        <v>56</v>
      </c>
      <c r="P256" t="s">
        <v>36</v>
      </c>
      <c r="Q256">
        <v>3800</v>
      </c>
    </row>
    <row r="257" spans="13:17" x14ac:dyDescent="0.25">
      <c r="M257">
        <v>1984</v>
      </c>
      <c r="N257" t="s">
        <v>1</v>
      </c>
      <c r="O257" t="s">
        <v>56</v>
      </c>
      <c r="P257" t="s">
        <v>36</v>
      </c>
      <c r="Q257">
        <v>6344.3751000000002</v>
      </c>
    </row>
    <row r="258" spans="13:17" x14ac:dyDescent="0.25">
      <c r="M258">
        <v>1985</v>
      </c>
      <c r="N258" t="s">
        <v>1</v>
      </c>
      <c r="O258" t="s">
        <v>56</v>
      </c>
      <c r="P258" t="s">
        <v>36</v>
      </c>
      <c r="Q258">
        <v>7395.4611000000004</v>
      </c>
    </row>
    <row r="259" spans="13:17" x14ac:dyDescent="0.25">
      <c r="M259">
        <v>1986</v>
      </c>
      <c r="N259" t="s">
        <v>1</v>
      </c>
      <c r="O259" t="s">
        <v>56</v>
      </c>
      <c r="P259" t="s">
        <v>36</v>
      </c>
      <c r="Q259">
        <v>7661.1068999999998</v>
      </c>
    </row>
    <row r="260" spans="13:17" x14ac:dyDescent="0.25">
      <c r="M260">
        <v>1987</v>
      </c>
      <c r="N260" t="s">
        <v>1</v>
      </c>
      <c r="O260" t="s">
        <v>56</v>
      </c>
      <c r="P260" t="s">
        <v>36</v>
      </c>
      <c r="Q260">
        <v>8400.2419000000009</v>
      </c>
    </row>
    <row r="261" spans="13:17" x14ac:dyDescent="0.25">
      <c r="M261">
        <v>1988</v>
      </c>
      <c r="N261" t="s">
        <v>1</v>
      </c>
      <c r="O261" t="s">
        <v>56</v>
      </c>
      <c r="P261" t="s">
        <v>36</v>
      </c>
      <c r="Q261">
        <v>8779.1852999999992</v>
      </c>
    </row>
    <row r="262" spans="13:17" x14ac:dyDescent="0.25">
      <c r="M262">
        <v>1989</v>
      </c>
      <c r="N262" t="s">
        <v>1</v>
      </c>
      <c r="O262" t="s">
        <v>56</v>
      </c>
      <c r="P262" t="s">
        <v>36</v>
      </c>
      <c r="Q262">
        <v>8864.8991000000005</v>
      </c>
    </row>
    <row r="263" spans="13:17" x14ac:dyDescent="0.25">
      <c r="M263">
        <v>1990</v>
      </c>
      <c r="N263" t="s">
        <v>1</v>
      </c>
      <c r="O263" t="s">
        <v>56</v>
      </c>
      <c r="P263" t="s">
        <v>36</v>
      </c>
      <c r="Q263">
        <v>6105.2088000000003</v>
      </c>
    </row>
    <row r="264" spans="13:17" x14ac:dyDescent="0.25">
      <c r="M264">
        <v>1991</v>
      </c>
      <c r="N264" t="s">
        <v>1</v>
      </c>
      <c r="O264" t="s">
        <v>56</v>
      </c>
      <c r="P264" t="s">
        <v>36</v>
      </c>
      <c r="Q264">
        <v>5698.3644000000004</v>
      </c>
    </row>
    <row r="265" spans="13:17" x14ac:dyDescent="0.25">
      <c r="M265">
        <v>1992</v>
      </c>
      <c r="N265" t="s">
        <v>1</v>
      </c>
      <c r="O265" t="s">
        <v>56</v>
      </c>
      <c r="P265" t="s">
        <v>36</v>
      </c>
      <c r="Q265">
        <v>4077</v>
      </c>
    </row>
    <row r="266" spans="13:17" x14ac:dyDescent="0.25">
      <c r="M266">
        <v>1993</v>
      </c>
      <c r="N266" t="s">
        <v>1</v>
      </c>
      <c r="O266" t="s">
        <v>56</v>
      </c>
      <c r="P266" t="s">
        <v>36</v>
      </c>
      <c r="Q266">
        <v>3070</v>
      </c>
    </row>
    <row r="267" spans="13:17" x14ac:dyDescent="0.25">
      <c r="M267">
        <v>1994</v>
      </c>
      <c r="N267" t="s">
        <v>1</v>
      </c>
      <c r="O267" t="s">
        <v>56</v>
      </c>
      <c r="P267" t="s">
        <v>36</v>
      </c>
      <c r="Q267">
        <v>3921</v>
      </c>
    </row>
    <row r="268" spans="13:17" x14ac:dyDescent="0.25">
      <c r="M268">
        <v>1995</v>
      </c>
      <c r="N268" t="s">
        <v>1</v>
      </c>
      <c r="O268" t="s">
        <v>56</v>
      </c>
      <c r="P268" t="s">
        <v>36</v>
      </c>
      <c r="Q268">
        <v>4264</v>
      </c>
    </row>
    <row r="269" spans="13:17" x14ac:dyDescent="0.25">
      <c r="M269">
        <v>1996</v>
      </c>
      <c r="N269" t="s">
        <v>1</v>
      </c>
      <c r="O269" t="s">
        <v>56</v>
      </c>
      <c r="P269" t="s">
        <v>36</v>
      </c>
      <c r="Q269">
        <v>2657</v>
      </c>
    </row>
    <row r="270" spans="13:17" x14ac:dyDescent="0.25">
      <c r="M270">
        <v>1997</v>
      </c>
      <c r="N270" t="s">
        <v>1</v>
      </c>
      <c r="O270" t="s">
        <v>56</v>
      </c>
      <c r="P270" t="s">
        <v>36</v>
      </c>
      <c r="Q270">
        <v>3632</v>
      </c>
    </row>
    <row r="271" spans="13:17" x14ac:dyDescent="0.25">
      <c r="M271">
        <v>1998</v>
      </c>
      <c r="N271" t="s">
        <v>1</v>
      </c>
      <c r="O271" t="s">
        <v>56</v>
      </c>
      <c r="P271" t="s">
        <v>36</v>
      </c>
      <c r="Q271">
        <v>3632</v>
      </c>
    </row>
    <row r="272" spans="13:17" x14ac:dyDescent="0.25">
      <c r="M272">
        <v>1999</v>
      </c>
      <c r="N272" t="s">
        <v>1</v>
      </c>
      <c r="O272" t="s">
        <v>56</v>
      </c>
      <c r="P272" t="s">
        <v>36</v>
      </c>
      <c r="Q272">
        <v>3632</v>
      </c>
    </row>
    <row r="273" spans="13:17" x14ac:dyDescent="0.25">
      <c r="M273">
        <v>2000</v>
      </c>
      <c r="N273" t="s">
        <v>1</v>
      </c>
      <c r="O273" t="s">
        <v>56</v>
      </c>
      <c r="P273" t="s">
        <v>36</v>
      </c>
      <c r="Q273">
        <v>4863</v>
      </c>
    </row>
    <row r="274" spans="13:17" x14ac:dyDescent="0.25">
      <c r="M274">
        <v>2001</v>
      </c>
      <c r="N274" t="s">
        <v>1</v>
      </c>
      <c r="O274" t="s">
        <v>56</v>
      </c>
      <c r="P274" t="s">
        <v>36</v>
      </c>
      <c r="Q274">
        <v>4152</v>
      </c>
    </row>
    <row r="275" spans="13:17" x14ac:dyDescent="0.25">
      <c r="M275">
        <v>2002</v>
      </c>
      <c r="N275" t="s">
        <v>1</v>
      </c>
      <c r="O275" t="s">
        <v>56</v>
      </c>
      <c r="P275" t="s">
        <v>36</v>
      </c>
      <c r="Q275">
        <v>1698</v>
      </c>
    </row>
    <row r="276" spans="13:17" x14ac:dyDescent="0.25">
      <c r="M276">
        <v>2003</v>
      </c>
      <c r="N276" t="s">
        <v>1</v>
      </c>
      <c r="O276" t="s">
        <v>56</v>
      </c>
      <c r="P276" t="s">
        <v>36</v>
      </c>
      <c r="Q276">
        <v>2540.4</v>
      </c>
    </row>
    <row r="277" spans="13:17" x14ac:dyDescent="0.25">
      <c r="M277">
        <v>2004</v>
      </c>
      <c r="N277" t="s">
        <v>1</v>
      </c>
      <c r="O277" t="s">
        <v>56</v>
      </c>
      <c r="P277" t="s">
        <v>36</v>
      </c>
      <c r="Q277">
        <v>1482.57</v>
      </c>
    </row>
    <row r="278" spans="13:17" x14ac:dyDescent="0.25">
      <c r="M278">
        <v>2005</v>
      </c>
      <c r="N278" t="s">
        <v>1</v>
      </c>
      <c r="O278" t="s">
        <v>56</v>
      </c>
      <c r="P278" t="s">
        <v>36</v>
      </c>
      <c r="Q278">
        <v>1890.83</v>
      </c>
    </row>
    <row r="279" spans="13:17" x14ac:dyDescent="0.25">
      <c r="M279">
        <v>2006</v>
      </c>
      <c r="N279" t="s">
        <v>1</v>
      </c>
      <c r="O279" t="s">
        <v>56</v>
      </c>
      <c r="P279" t="s">
        <v>36</v>
      </c>
      <c r="Q279">
        <v>2373.39</v>
      </c>
    </row>
    <row r="280" spans="13:17" x14ac:dyDescent="0.25">
      <c r="M280">
        <v>2007</v>
      </c>
      <c r="N280" t="s">
        <v>1</v>
      </c>
      <c r="O280" t="s">
        <v>56</v>
      </c>
      <c r="P280" t="s">
        <v>36</v>
      </c>
      <c r="Q280">
        <v>1948.03</v>
      </c>
    </row>
    <row r="281" spans="13:17" x14ac:dyDescent="0.25">
      <c r="M281">
        <v>2015</v>
      </c>
      <c r="N281" t="s">
        <v>1</v>
      </c>
      <c r="O281" t="s">
        <v>56</v>
      </c>
      <c r="P281" t="s">
        <v>36</v>
      </c>
      <c r="Q281">
        <v>0.24764</v>
      </c>
    </row>
    <row r="282" spans="13:17" x14ac:dyDescent="0.25">
      <c r="M282">
        <v>1990</v>
      </c>
      <c r="N282" t="s">
        <v>4</v>
      </c>
      <c r="O282" t="s">
        <v>56</v>
      </c>
      <c r="P282" t="s">
        <v>36</v>
      </c>
      <c r="Q282">
        <v>866</v>
      </c>
    </row>
    <row r="283" spans="13:17" x14ac:dyDescent="0.25">
      <c r="M283">
        <v>1991</v>
      </c>
      <c r="N283" t="s">
        <v>4</v>
      </c>
      <c r="O283" t="s">
        <v>56</v>
      </c>
      <c r="P283" t="s">
        <v>36</v>
      </c>
      <c r="Q283">
        <v>1186</v>
      </c>
    </row>
    <row r="284" spans="13:17" x14ac:dyDescent="0.25">
      <c r="M284">
        <v>1992</v>
      </c>
      <c r="N284" t="s">
        <v>4</v>
      </c>
      <c r="O284" t="s">
        <v>56</v>
      </c>
      <c r="P284" t="s">
        <v>36</v>
      </c>
      <c r="Q284">
        <v>1883</v>
      </c>
    </row>
    <row r="285" spans="13:17" x14ac:dyDescent="0.25">
      <c r="M285">
        <v>1993</v>
      </c>
      <c r="N285" t="s">
        <v>4</v>
      </c>
      <c r="O285" t="s">
        <v>56</v>
      </c>
      <c r="P285" t="s">
        <v>36</v>
      </c>
      <c r="Q285">
        <v>2068</v>
      </c>
    </row>
    <row r="286" spans="13:17" x14ac:dyDescent="0.25">
      <c r="M286">
        <v>1994</v>
      </c>
      <c r="N286" t="s">
        <v>4</v>
      </c>
      <c r="O286" t="s">
        <v>56</v>
      </c>
      <c r="P286" t="s">
        <v>36</v>
      </c>
      <c r="Q286">
        <v>2109</v>
      </c>
    </row>
    <row r="287" spans="13:17" x14ac:dyDescent="0.25">
      <c r="M287">
        <v>1995</v>
      </c>
      <c r="N287" t="s">
        <v>4</v>
      </c>
      <c r="O287" t="s">
        <v>56</v>
      </c>
      <c r="P287" t="s">
        <v>36</v>
      </c>
      <c r="Q287">
        <v>1518</v>
      </c>
    </row>
    <row r="288" spans="13:17" x14ac:dyDescent="0.25">
      <c r="M288">
        <v>1996</v>
      </c>
      <c r="N288" t="s">
        <v>4</v>
      </c>
      <c r="O288" t="s">
        <v>56</v>
      </c>
      <c r="P288" t="s">
        <v>36</v>
      </c>
      <c r="Q288">
        <v>2461</v>
      </c>
    </row>
    <row r="289" spans="13:17" x14ac:dyDescent="0.25">
      <c r="M289">
        <v>1997</v>
      </c>
      <c r="N289" t="s">
        <v>4</v>
      </c>
      <c r="O289" t="s">
        <v>56</v>
      </c>
      <c r="P289" t="s">
        <v>36</v>
      </c>
      <c r="Q289">
        <v>4653</v>
      </c>
    </row>
    <row r="290" spans="13:17" x14ac:dyDescent="0.25">
      <c r="M290">
        <v>1998</v>
      </c>
      <c r="N290" t="s">
        <v>4</v>
      </c>
      <c r="O290" t="s">
        <v>56</v>
      </c>
      <c r="P290" t="s">
        <v>36</v>
      </c>
      <c r="Q290">
        <v>2905</v>
      </c>
    </row>
    <row r="291" spans="13:17" x14ac:dyDescent="0.25">
      <c r="M291">
        <v>1999</v>
      </c>
      <c r="N291" t="s">
        <v>4</v>
      </c>
      <c r="O291" t="s">
        <v>56</v>
      </c>
      <c r="P291" t="s">
        <v>36</v>
      </c>
      <c r="Q291">
        <v>2979</v>
      </c>
    </row>
    <row r="292" spans="13:17" x14ac:dyDescent="0.25">
      <c r="M292">
        <v>2000</v>
      </c>
      <c r="N292" t="s">
        <v>4</v>
      </c>
      <c r="O292" t="s">
        <v>56</v>
      </c>
      <c r="P292" t="s">
        <v>36</v>
      </c>
      <c r="Q292">
        <v>2503</v>
      </c>
    </row>
    <row r="293" spans="13:17" x14ac:dyDescent="0.25">
      <c r="M293">
        <v>2001</v>
      </c>
      <c r="N293" t="s">
        <v>4</v>
      </c>
      <c r="O293" t="s">
        <v>56</v>
      </c>
      <c r="P293" t="s">
        <v>36</v>
      </c>
      <c r="Q293">
        <v>2266</v>
      </c>
    </row>
    <row r="294" spans="13:17" x14ac:dyDescent="0.25">
      <c r="M294">
        <v>2002</v>
      </c>
      <c r="N294" t="s">
        <v>4</v>
      </c>
      <c r="O294" t="s">
        <v>56</v>
      </c>
      <c r="P294" t="s">
        <v>36</v>
      </c>
      <c r="Q294">
        <v>2230</v>
      </c>
    </row>
    <row r="295" spans="13:17" x14ac:dyDescent="0.25">
      <c r="M295">
        <v>2003</v>
      </c>
      <c r="N295" t="s">
        <v>4</v>
      </c>
      <c r="O295" t="s">
        <v>56</v>
      </c>
      <c r="P295" t="s">
        <v>36</v>
      </c>
      <c r="Q295">
        <v>1629</v>
      </c>
    </row>
    <row r="296" spans="13:17" x14ac:dyDescent="0.25">
      <c r="M296">
        <v>2004</v>
      </c>
      <c r="N296" t="s">
        <v>4</v>
      </c>
      <c r="O296" t="s">
        <v>56</v>
      </c>
      <c r="P296" t="s">
        <v>36</v>
      </c>
      <c r="Q296">
        <v>1299</v>
      </c>
    </row>
    <row r="297" spans="13:17" x14ac:dyDescent="0.25">
      <c r="M297">
        <v>2005</v>
      </c>
      <c r="N297" t="s">
        <v>4</v>
      </c>
      <c r="O297" t="s">
        <v>56</v>
      </c>
      <c r="P297" t="s">
        <v>36</v>
      </c>
      <c r="Q297">
        <v>722</v>
      </c>
    </row>
    <row r="298" spans="13:17" x14ac:dyDescent="0.25">
      <c r="M298">
        <v>2006</v>
      </c>
      <c r="N298" t="s">
        <v>4</v>
      </c>
      <c r="O298" t="s">
        <v>56</v>
      </c>
      <c r="P298" t="s">
        <v>36</v>
      </c>
      <c r="Q298">
        <v>603</v>
      </c>
    </row>
    <row r="299" spans="13:17" x14ac:dyDescent="0.25">
      <c r="M299">
        <v>2007</v>
      </c>
      <c r="N299" t="s">
        <v>4</v>
      </c>
      <c r="O299" t="s">
        <v>56</v>
      </c>
      <c r="P299" t="s">
        <v>36</v>
      </c>
      <c r="Q299">
        <v>615</v>
      </c>
    </row>
    <row r="300" spans="13:17" x14ac:dyDescent="0.25">
      <c r="M300">
        <v>2008</v>
      </c>
      <c r="N300" t="s">
        <v>4</v>
      </c>
      <c r="O300" t="s">
        <v>56</v>
      </c>
      <c r="P300" t="s">
        <v>36</v>
      </c>
      <c r="Q300">
        <v>587</v>
      </c>
    </row>
    <row r="301" spans="13:17" x14ac:dyDescent="0.25">
      <c r="M301">
        <v>2009</v>
      </c>
      <c r="N301" t="s">
        <v>4</v>
      </c>
      <c r="O301" t="s">
        <v>56</v>
      </c>
      <c r="P301" t="s">
        <v>36</v>
      </c>
      <c r="Q301">
        <v>477</v>
      </c>
    </row>
    <row r="302" spans="13:17" x14ac:dyDescent="0.25">
      <c r="M302">
        <v>2010</v>
      </c>
      <c r="N302" t="s">
        <v>4</v>
      </c>
      <c r="O302" t="s">
        <v>56</v>
      </c>
      <c r="P302" t="s">
        <v>36</v>
      </c>
      <c r="Q302">
        <v>410</v>
      </c>
    </row>
    <row r="303" spans="13:17" x14ac:dyDescent="0.25">
      <c r="M303">
        <v>2011</v>
      </c>
      <c r="N303" t="s">
        <v>4</v>
      </c>
      <c r="O303" t="s">
        <v>56</v>
      </c>
      <c r="P303" t="s">
        <v>36</v>
      </c>
      <c r="Q303">
        <v>387</v>
      </c>
    </row>
    <row r="304" spans="13:17" x14ac:dyDescent="0.25">
      <c r="M304">
        <v>2012</v>
      </c>
      <c r="N304" t="s">
        <v>4</v>
      </c>
      <c r="O304" t="s">
        <v>56</v>
      </c>
      <c r="P304" t="s">
        <v>36</v>
      </c>
      <c r="Q304">
        <v>0</v>
      </c>
    </row>
    <row r="305" spans="13:17" x14ac:dyDescent="0.25">
      <c r="M305">
        <v>2013</v>
      </c>
      <c r="N305" t="s">
        <v>4</v>
      </c>
      <c r="O305" t="s">
        <v>56</v>
      </c>
      <c r="P305" t="s">
        <v>36</v>
      </c>
      <c r="Q305">
        <v>0</v>
      </c>
    </row>
    <row r="306" spans="13:17" x14ac:dyDescent="0.25">
      <c r="M306">
        <v>2014</v>
      </c>
      <c r="N306" t="s">
        <v>4</v>
      </c>
      <c r="O306" t="s">
        <v>56</v>
      </c>
      <c r="P306" t="s">
        <v>36</v>
      </c>
      <c r="Q306">
        <v>0</v>
      </c>
    </row>
    <row r="307" spans="13:17" x14ac:dyDescent="0.25">
      <c r="M307">
        <v>1982</v>
      </c>
      <c r="N307" t="s">
        <v>42</v>
      </c>
      <c r="O307" t="s">
        <v>56</v>
      </c>
      <c r="P307" t="s">
        <v>36</v>
      </c>
      <c r="Q307">
        <v>0</v>
      </c>
    </row>
    <row r="308" spans="13:17" x14ac:dyDescent="0.25">
      <c r="M308">
        <v>1983</v>
      </c>
      <c r="N308" t="s">
        <v>42</v>
      </c>
      <c r="O308" t="s">
        <v>56</v>
      </c>
      <c r="P308" t="s">
        <v>36</v>
      </c>
      <c r="Q308">
        <v>0</v>
      </c>
    </row>
    <row r="309" spans="13:17" x14ac:dyDescent="0.25">
      <c r="M309">
        <v>1984</v>
      </c>
      <c r="N309" t="s">
        <v>42</v>
      </c>
      <c r="O309" t="s">
        <v>56</v>
      </c>
      <c r="P309" t="s">
        <v>36</v>
      </c>
      <c r="Q309">
        <v>219</v>
      </c>
    </row>
    <row r="310" spans="13:17" x14ac:dyDescent="0.25">
      <c r="M310">
        <v>1985</v>
      </c>
      <c r="N310" t="s">
        <v>42</v>
      </c>
      <c r="O310" t="s">
        <v>56</v>
      </c>
      <c r="P310" t="s">
        <v>36</v>
      </c>
      <c r="Q310">
        <v>231</v>
      </c>
    </row>
    <row r="311" spans="13:17" x14ac:dyDescent="0.25">
      <c r="M311">
        <v>1986</v>
      </c>
      <c r="N311" t="s">
        <v>42</v>
      </c>
      <c r="O311" t="s">
        <v>56</v>
      </c>
      <c r="P311" t="s">
        <v>36</v>
      </c>
      <c r="Q311">
        <v>243</v>
      </c>
    </row>
    <row r="312" spans="13:17" x14ac:dyDescent="0.25">
      <c r="M312">
        <v>1987</v>
      </c>
      <c r="N312" t="s">
        <v>42</v>
      </c>
      <c r="O312" t="s">
        <v>56</v>
      </c>
      <c r="P312" t="s">
        <v>36</v>
      </c>
      <c r="Q312">
        <v>262</v>
      </c>
    </row>
    <row r="313" spans="13:17" x14ac:dyDescent="0.25">
      <c r="M313">
        <v>1988</v>
      </c>
      <c r="N313" t="s">
        <v>42</v>
      </c>
      <c r="O313" t="s">
        <v>56</v>
      </c>
      <c r="P313" t="s">
        <v>36</v>
      </c>
      <c r="Q313">
        <v>277</v>
      </c>
    </row>
    <row r="314" spans="13:17" x14ac:dyDescent="0.25">
      <c r="M314">
        <v>1989</v>
      </c>
      <c r="N314" t="s">
        <v>42</v>
      </c>
      <c r="O314" t="s">
        <v>56</v>
      </c>
      <c r="P314" t="s">
        <v>36</v>
      </c>
      <c r="Q314">
        <v>381</v>
      </c>
    </row>
    <row r="315" spans="13:17" x14ac:dyDescent="0.25">
      <c r="M315">
        <v>1990</v>
      </c>
      <c r="N315" t="s">
        <v>42</v>
      </c>
      <c r="O315" t="s">
        <v>56</v>
      </c>
      <c r="P315" t="s">
        <v>36</v>
      </c>
      <c r="Q315">
        <v>442</v>
      </c>
    </row>
    <row r="316" spans="13:17" x14ac:dyDescent="0.25">
      <c r="M316">
        <v>1991</v>
      </c>
      <c r="N316" t="s">
        <v>42</v>
      </c>
      <c r="O316" t="s">
        <v>56</v>
      </c>
      <c r="P316" t="s">
        <v>36</v>
      </c>
      <c r="Q316">
        <v>559</v>
      </c>
    </row>
    <row r="317" spans="13:17" x14ac:dyDescent="0.25">
      <c r="M317">
        <v>1992</v>
      </c>
      <c r="N317" t="s">
        <v>42</v>
      </c>
      <c r="O317" t="s">
        <v>56</v>
      </c>
      <c r="P317" t="s">
        <v>36</v>
      </c>
      <c r="Q317">
        <v>559</v>
      </c>
    </row>
    <row r="318" spans="13:17" x14ac:dyDescent="0.25">
      <c r="M318">
        <v>1985</v>
      </c>
      <c r="N318" t="s">
        <v>2</v>
      </c>
      <c r="O318" t="s">
        <v>57</v>
      </c>
      <c r="P318" t="s">
        <v>36</v>
      </c>
      <c r="Q318">
        <v>1</v>
      </c>
    </row>
    <row r="319" spans="13:17" x14ac:dyDescent="0.25">
      <c r="M319">
        <v>2004</v>
      </c>
      <c r="N319" t="s">
        <v>6</v>
      </c>
      <c r="O319" t="s">
        <v>57</v>
      </c>
      <c r="P319" t="s">
        <v>36</v>
      </c>
      <c r="Q319">
        <v>112</v>
      </c>
    </row>
    <row r="320" spans="13:17" x14ac:dyDescent="0.25">
      <c r="M320">
        <v>2005</v>
      </c>
      <c r="N320" t="s">
        <v>6</v>
      </c>
      <c r="O320" t="s">
        <v>57</v>
      </c>
      <c r="P320" t="s">
        <v>36</v>
      </c>
      <c r="Q320">
        <v>175</v>
      </c>
    </row>
    <row r="321" spans="13:17" x14ac:dyDescent="0.25">
      <c r="M321">
        <v>2006</v>
      </c>
      <c r="N321" t="s">
        <v>6</v>
      </c>
      <c r="O321" t="s">
        <v>57</v>
      </c>
      <c r="P321" t="s">
        <v>36</v>
      </c>
      <c r="Q321">
        <v>72</v>
      </c>
    </row>
    <row r="322" spans="13:17" x14ac:dyDescent="0.25">
      <c r="M322">
        <v>2007</v>
      </c>
      <c r="N322" t="s">
        <v>6</v>
      </c>
      <c r="O322" t="s">
        <v>57</v>
      </c>
      <c r="P322" t="s">
        <v>36</v>
      </c>
      <c r="Q322">
        <v>0.59</v>
      </c>
    </row>
    <row r="323" spans="13:17" x14ac:dyDescent="0.25">
      <c r="M323">
        <v>2008</v>
      </c>
      <c r="N323" t="s">
        <v>12</v>
      </c>
      <c r="O323" t="s">
        <v>57</v>
      </c>
      <c r="P323" t="s">
        <v>36</v>
      </c>
      <c r="Q323">
        <v>7.0000000000000007E-2</v>
      </c>
    </row>
    <row r="324" spans="13:17" x14ac:dyDescent="0.25">
      <c r="M324">
        <v>2009</v>
      </c>
      <c r="N324" t="s">
        <v>12</v>
      </c>
      <c r="O324" t="s">
        <v>57</v>
      </c>
      <c r="P324" t="s">
        <v>36</v>
      </c>
      <c r="Q324">
        <v>0.41599999999999998</v>
      </c>
    </row>
    <row r="325" spans="13:17" x14ac:dyDescent="0.25">
      <c r="M325">
        <v>2010</v>
      </c>
      <c r="N325" t="s">
        <v>12</v>
      </c>
      <c r="O325" t="s">
        <v>57</v>
      </c>
      <c r="P325" t="s">
        <v>36</v>
      </c>
      <c r="Q325">
        <v>1.29</v>
      </c>
    </row>
    <row r="326" spans="13:17" x14ac:dyDescent="0.25">
      <c r="M326">
        <v>2011</v>
      </c>
      <c r="N326" t="s">
        <v>12</v>
      </c>
      <c r="O326" t="s">
        <v>57</v>
      </c>
      <c r="P326" t="s">
        <v>36</v>
      </c>
      <c r="Q326">
        <v>0.81899999999999995</v>
      </c>
    </row>
    <row r="327" spans="13:17" x14ac:dyDescent="0.25">
      <c r="M327">
        <v>2012</v>
      </c>
      <c r="N327" t="s">
        <v>12</v>
      </c>
      <c r="O327" t="s">
        <v>57</v>
      </c>
      <c r="P327" t="s">
        <v>36</v>
      </c>
      <c r="Q327">
        <v>2.3849999999999998</v>
      </c>
    </row>
    <row r="328" spans="13:17" x14ac:dyDescent="0.25">
      <c r="M328">
        <v>2013</v>
      </c>
      <c r="N328" t="s">
        <v>12</v>
      </c>
      <c r="O328" t="s">
        <v>57</v>
      </c>
      <c r="P328" t="s">
        <v>36</v>
      </c>
      <c r="Q328">
        <v>3.911</v>
      </c>
    </row>
    <row r="329" spans="13:17" x14ac:dyDescent="0.25">
      <c r="M329">
        <v>2014</v>
      </c>
      <c r="N329" t="s">
        <v>12</v>
      </c>
      <c r="O329" t="s">
        <v>57</v>
      </c>
      <c r="P329" t="s">
        <v>36</v>
      </c>
      <c r="Q329">
        <v>3.2590499999999998</v>
      </c>
    </row>
    <row r="330" spans="13:17" x14ac:dyDescent="0.25">
      <c r="M330">
        <v>2015</v>
      </c>
      <c r="N330" t="s">
        <v>12</v>
      </c>
      <c r="O330" t="s">
        <v>57</v>
      </c>
      <c r="P330" t="s">
        <v>36</v>
      </c>
      <c r="Q330">
        <v>4.7</v>
      </c>
    </row>
    <row r="331" spans="13:17" x14ac:dyDescent="0.25">
      <c r="M331">
        <v>2016</v>
      </c>
      <c r="N331" t="s">
        <v>12</v>
      </c>
      <c r="O331" t="s">
        <v>57</v>
      </c>
      <c r="P331" t="s">
        <v>36</v>
      </c>
      <c r="Q331">
        <v>3.7175500000000001</v>
      </c>
    </row>
    <row r="332" spans="13:17" x14ac:dyDescent="0.25">
      <c r="M332">
        <v>2017</v>
      </c>
      <c r="N332" t="s">
        <v>12</v>
      </c>
      <c r="O332" t="s">
        <v>57</v>
      </c>
      <c r="P332" t="s">
        <v>36</v>
      </c>
      <c r="Q332">
        <v>3.6669999999999998</v>
      </c>
    </row>
    <row r="333" spans="13:17" x14ac:dyDescent="0.25">
      <c r="M333">
        <v>2018</v>
      </c>
      <c r="N333" t="s">
        <v>12</v>
      </c>
      <c r="O333" t="s">
        <v>57</v>
      </c>
      <c r="P333" t="s">
        <v>36</v>
      </c>
      <c r="Q333">
        <v>2.1806999999999999</v>
      </c>
    </row>
    <row r="334" spans="13:17" x14ac:dyDescent="0.25">
      <c r="M334">
        <v>2019</v>
      </c>
      <c r="N334" t="s">
        <v>12</v>
      </c>
      <c r="O334" t="s">
        <v>57</v>
      </c>
      <c r="P334" t="s">
        <v>36</v>
      </c>
      <c r="Q334">
        <v>2.9538000000000002</v>
      </c>
    </row>
    <row r="335" spans="13:17" x14ac:dyDescent="0.25">
      <c r="M335">
        <v>2020</v>
      </c>
      <c r="N335" t="s">
        <v>12</v>
      </c>
      <c r="O335" t="s">
        <v>57</v>
      </c>
      <c r="P335" t="s">
        <v>36</v>
      </c>
      <c r="Q335">
        <v>0.82698400000000005</v>
      </c>
    </row>
    <row r="336" spans="13:17" x14ac:dyDescent="0.25">
      <c r="M336">
        <v>2021</v>
      </c>
      <c r="N336" t="s">
        <v>12</v>
      </c>
      <c r="O336" t="s">
        <v>57</v>
      </c>
      <c r="P336" t="s">
        <v>36</v>
      </c>
      <c r="Q336">
        <v>1.699244</v>
      </c>
    </row>
    <row r="337" spans="13:17" x14ac:dyDescent="0.25">
      <c r="M337">
        <v>2022</v>
      </c>
      <c r="N337" t="s">
        <v>12</v>
      </c>
      <c r="O337" t="s">
        <v>57</v>
      </c>
      <c r="P337" t="s">
        <v>36</v>
      </c>
      <c r="Q337">
        <v>2.2569319999999999</v>
      </c>
    </row>
    <row r="338" spans="13:17" x14ac:dyDescent="0.25">
      <c r="M338">
        <v>2023</v>
      </c>
      <c r="N338" t="s">
        <v>12</v>
      </c>
      <c r="O338" t="s">
        <v>57</v>
      </c>
      <c r="P338" t="s">
        <v>36</v>
      </c>
      <c r="Q338">
        <v>1.198472</v>
      </c>
    </row>
    <row r="339" spans="13:17" x14ac:dyDescent="0.25">
      <c r="M339">
        <v>2024</v>
      </c>
      <c r="N339" t="s">
        <v>12</v>
      </c>
      <c r="O339" t="s">
        <v>57</v>
      </c>
      <c r="P339" t="s">
        <v>36</v>
      </c>
      <c r="Q339">
        <v>1.2227840000000001</v>
      </c>
    </row>
    <row r="340" spans="13:17" x14ac:dyDescent="0.25">
      <c r="M340">
        <v>2009</v>
      </c>
      <c r="N340" t="s">
        <v>11</v>
      </c>
      <c r="O340" t="s">
        <v>57</v>
      </c>
      <c r="P340" t="s">
        <v>36</v>
      </c>
      <c r="Q340">
        <v>5.6950000000000001E-2</v>
      </c>
    </row>
    <row r="341" spans="13:17" x14ac:dyDescent="0.25">
      <c r="M341">
        <v>2013</v>
      </c>
      <c r="N341" t="s">
        <v>11</v>
      </c>
      <c r="O341" t="s">
        <v>57</v>
      </c>
      <c r="P341" t="s">
        <v>36</v>
      </c>
      <c r="Q341">
        <v>0.38800000000000001</v>
      </c>
    </row>
    <row r="342" spans="13:17" x14ac:dyDescent="0.25">
      <c r="M342">
        <v>2015</v>
      </c>
      <c r="N342" t="s">
        <v>11</v>
      </c>
      <c r="O342" t="s">
        <v>57</v>
      </c>
      <c r="P342" t="s">
        <v>36</v>
      </c>
      <c r="Q342">
        <v>0.12</v>
      </c>
    </row>
    <row r="343" spans="13:17" x14ac:dyDescent="0.25">
      <c r="M343">
        <v>2016</v>
      </c>
      <c r="N343" t="s">
        <v>11</v>
      </c>
      <c r="O343" t="s">
        <v>57</v>
      </c>
      <c r="P343" t="s">
        <v>36</v>
      </c>
      <c r="Q343">
        <v>0.5665</v>
      </c>
    </row>
    <row r="344" spans="13:17" x14ac:dyDescent="0.25">
      <c r="M344">
        <v>2018</v>
      </c>
      <c r="N344" t="s">
        <v>11</v>
      </c>
      <c r="O344" t="s">
        <v>57</v>
      </c>
      <c r="P344" t="s">
        <v>36</v>
      </c>
      <c r="Q344">
        <v>3.5000000000000003E-2</v>
      </c>
    </row>
    <row r="345" spans="13:17" x14ac:dyDescent="0.25">
      <c r="M345">
        <v>2019</v>
      </c>
      <c r="N345" t="s">
        <v>11</v>
      </c>
      <c r="O345" t="s">
        <v>57</v>
      </c>
      <c r="P345" t="s">
        <v>36</v>
      </c>
      <c r="Q345">
        <v>2.5000000000000001E-2</v>
      </c>
    </row>
    <row r="346" spans="13:17" x14ac:dyDescent="0.25">
      <c r="M346">
        <v>2020</v>
      </c>
      <c r="N346" t="s">
        <v>11</v>
      </c>
      <c r="O346" t="s">
        <v>57</v>
      </c>
      <c r="P346" t="s">
        <v>36</v>
      </c>
      <c r="Q346">
        <v>2.4604200000000001</v>
      </c>
    </row>
    <row r="347" spans="13:17" x14ac:dyDescent="0.25">
      <c r="M347">
        <v>2021</v>
      </c>
      <c r="N347" t="s">
        <v>11</v>
      </c>
      <c r="O347" t="s">
        <v>57</v>
      </c>
      <c r="P347" t="s">
        <v>36</v>
      </c>
      <c r="Q347">
        <v>0.89052399999999998</v>
      </c>
    </row>
    <row r="348" spans="13:17" x14ac:dyDescent="0.25">
      <c r="M348">
        <v>2022</v>
      </c>
      <c r="N348" t="s">
        <v>11</v>
      </c>
      <c r="O348" t="s">
        <v>57</v>
      </c>
      <c r="P348" t="s">
        <v>36</v>
      </c>
      <c r="Q348">
        <v>2.4556420000000001</v>
      </c>
    </row>
    <row r="349" spans="13:17" x14ac:dyDescent="0.25">
      <c r="M349">
        <v>2023</v>
      </c>
      <c r="N349" t="s">
        <v>11</v>
      </c>
      <c r="O349" t="s">
        <v>57</v>
      </c>
      <c r="P349" t="s">
        <v>36</v>
      </c>
      <c r="Q349">
        <v>3.0095860000000001</v>
      </c>
    </row>
    <row r="350" spans="13:17" x14ac:dyDescent="0.25">
      <c r="M350">
        <v>2024</v>
      </c>
      <c r="N350" t="s">
        <v>11</v>
      </c>
      <c r="O350" t="s">
        <v>57</v>
      </c>
      <c r="P350" t="s">
        <v>36</v>
      </c>
      <c r="Q350">
        <v>3.3445999999999998</v>
      </c>
    </row>
    <row r="351" spans="13:17" x14ac:dyDescent="0.25">
      <c r="M351">
        <v>2007</v>
      </c>
      <c r="N351" t="s">
        <v>4</v>
      </c>
      <c r="O351" t="s">
        <v>57</v>
      </c>
      <c r="P351" t="s">
        <v>36</v>
      </c>
      <c r="Q351">
        <v>0</v>
      </c>
    </row>
    <row r="352" spans="13:17" x14ac:dyDescent="0.25">
      <c r="M352">
        <v>2009</v>
      </c>
      <c r="N352" t="s">
        <v>4</v>
      </c>
      <c r="O352" t="s">
        <v>57</v>
      </c>
      <c r="P352" t="s">
        <v>36</v>
      </c>
      <c r="Q352">
        <v>0</v>
      </c>
    </row>
    <row r="353" spans="13:17" x14ac:dyDescent="0.25">
      <c r="M353">
        <v>2011</v>
      </c>
      <c r="N353" t="s">
        <v>4</v>
      </c>
      <c r="O353" t="s">
        <v>57</v>
      </c>
      <c r="P353" t="s">
        <v>36</v>
      </c>
      <c r="Q353">
        <v>0</v>
      </c>
    </row>
    <row r="354" spans="13:17" x14ac:dyDescent="0.25">
      <c r="M354">
        <v>2012</v>
      </c>
      <c r="N354" t="s">
        <v>4</v>
      </c>
      <c r="O354" t="s">
        <v>57</v>
      </c>
      <c r="P354" t="s">
        <v>36</v>
      </c>
      <c r="Q354">
        <v>0</v>
      </c>
    </row>
    <row r="355" spans="13:17" x14ac:dyDescent="0.25">
      <c r="M355">
        <v>2013</v>
      </c>
      <c r="N355" t="s">
        <v>4</v>
      </c>
      <c r="O355" t="s">
        <v>57</v>
      </c>
      <c r="P355" t="s">
        <v>36</v>
      </c>
      <c r="Q355">
        <v>0</v>
      </c>
    </row>
    <row r="356" spans="13:17" x14ac:dyDescent="0.25">
      <c r="M356">
        <v>2014</v>
      </c>
      <c r="N356" t="s">
        <v>4</v>
      </c>
      <c r="O356" t="s">
        <v>57</v>
      </c>
      <c r="P356" t="s">
        <v>36</v>
      </c>
      <c r="Q356">
        <v>0</v>
      </c>
    </row>
    <row r="357" spans="13:17" x14ac:dyDescent="0.25">
      <c r="M357">
        <v>2016</v>
      </c>
      <c r="N357" t="s">
        <v>8</v>
      </c>
      <c r="O357" t="s">
        <v>65</v>
      </c>
      <c r="P357" t="s">
        <v>36</v>
      </c>
      <c r="Q357">
        <v>6.63</v>
      </c>
    </row>
    <row r="358" spans="13:17" x14ac:dyDescent="0.25">
      <c r="M358">
        <v>2017</v>
      </c>
      <c r="N358" t="s">
        <v>8</v>
      </c>
      <c r="O358" t="s">
        <v>65</v>
      </c>
      <c r="P358" t="s">
        <v>36</v>
      </c>
      <c r="Q358">
        <v>35.11</v>
      </c>
    </row>
    <row r="359" spans="13:17" x14ac:dyDescent="0.25">
      <c r="M359">
        <v>2018</v>
      </c>
      <c r="N359" t="s">
        <v>8</v>
      </c>
      <c r="O359" t="s">
        <v>65</v>
      </c>
      <c r="P359" t="s">
        <v>36</v>
      </c>
      <c r="Q359">
        <v>28.506</v>
      </c>
    </row>
    <row r="360" spans="13:17" x14ac:dyDescent="0.25">
      <c r="M360">
        <v>2019</v>
      </c>
      <c r="N360" t="s">
        <v>8</v>
      </c>
      <c r="O360" t="s">
        <v>65</v>
      </c>
      <c r="P360" t="s">
        <v>36</v>
      </c>
      <c r="Q360">
        <v>27.86</v>
      </c>
    </row>
    <row r="361" spans="13:17" x14ac:dyDescent="0.25">
      <c r="M361">
        <v>2020</v>
      </c>
      <c r="N361" t="s">
        <v>8</v>
      </c>
      <c r="O361" t="s">
        <v>65</v>
      </c>
      <c r="P361" t="s">
        <v>36</v>
      </c>
      <c r="Q361">
        <v>26.44</v>
      </c>
    </row>
    <row r="362" spans="13:17" x14ac:dyDescent="0.25">
      <c r="M362">
        <v>2021</v>
      </c>
      <c r="N362" t="s">
        <v>8</v>
      </c>
      <c r="O362" t="s">
        <v>65</v>
      </c>
      <c r="P362" t="s">
        <v>36</v>
      </c>
      <c r="Q362">
        <v>33.57</v>
      </c>
    </row>
    <row r="363" spans="13:17" x14ac:dyDescent="0.25">
      <c r="M363">
        <v>2022</v>
      </c>
      <c r="N363" t="s">
        <v>8</v>
      </c>
      <c r="O363" t="s">
        <v>65</v>
      </c>
      <c r="P363" t="s">
        <v>36</v>
      </c>
      <c r="Q363">
        <v>70</v>
      </c>
    </row>
    <row r="364" spans="13:17" x14ac:dyDescent="0.25">
      <c r="M364">
        <v>2023</v>
      </c>
      <c r="N364" t="s">
        <v>8</v>
      </c>
      <c r="O364" t="s">
        <v>65</v>
      </c>
      <c r="P364" t="s">
        <v>36</v>
      </c>
      <c r="Q364">
        <v>35</v>
      </c>
    </row>
    <row r="365" spans="13:17" x14ac:dyDescent="0.25">
      <c r="M365">
        <v>2024</v>
      </c>
      <c r="N365" t="s">
        <v>8</v>
      </c>
      <c r="O365" t="s">
        <v>65</v>
      </c>
      <c r="P365" t="s">
        <v>36</v>
      </c>
      <c r="Q365">
        <v>34.200000000000003</v>
      </c>
    </row>
    <row r="366" spans="13:17" x14ac:dyDescent="0.25">
      <c r="M366">
        <v>1968</v>
      </c>
      <c r="N366" t="s">
        <v>1</v>
      </c>
      <c r="O366" t="s">
        <v>65</v>
      </c>
      <c r="P366" t="s">
        <v>36</v>
      </c>
      <c r="Q366">
        <v>194.04</v>
      </c>
    </row>
    <row r="367" spans="13:17" x14ac:dyDescent="0.25">
      <c r="M367">
        <v>1969</v>
      </c>
      <c r="N367" t="s">
        <v>1</v>
      </c>
      <c r="O367" t="s">
        <v>65</v>
      </c>
      <c r="P367" t="s">
        <v>36</v>
      </c>
      <c r="Q367">
        <v>277.2</v>
      </c>
    </row>
    <row r="368" spans="13:17" x14ac:dyDescent="0.25">
      <c r="M368">
        <v>1970</v>
      </c>
      <c r="N368" t="s">
        <v>1</v>
      </c>
      <c r="O368" t="s">
        <v>65</v>
      </c>
      <c r="P368" t="s">
        <v>36</v>
      </c>
      <c r="Q368">
        <v>249.48</v>
      </c>
    </row>
    <row r="369" spans="13:17" x14ac:dyDescent="0.25">
      <c r="M369">
        <v>1971</v>
      </c>
      <c r="N369" t="s">
        <v>1</v>
      </c>
      <c r="O369" t="s">
        <v>65</v>
      </c>
      <c r="P369" t="s">
        <v>36</v>
      </c>
      <c r="Q369">
        <v>401.94</v>
      </c>
    </row>
    <row r="370" spans="13:17" x14ac:dyDescent="0.25">
      <c r="M370">
        <v>1972</v>
      </c>
      <c r="N370" t="s">
        <v>1</v>
      </c>
      <c r="O370" t="s">
        <v>65</v>
      </c>
      <c r="P370" t="s">
        <v>36</v>
      </c>
      <c r="Q370">
        <v>512.82000000000005</v>
      </c>
    </row>
    <row r="371" spans="13:17" x14ac:dyDescent="0.25">
      <c r="M371">
        <v>1973</v>
      </c>
      <c r="N371" t="s">
        <v>1</v>
      </c>
      <c r="O371" t="s">
        <v>65</v>
      </c>
      <c r="P371" t="s">
        <v>36</v>
      </c>
      <c r="Q371">
        <v>388.08</v>
      </c>
    </row>
    <row r="372" spans="13:17" x14ac:dyDescent="0.25">
      <c r="M372">
        <v>1974</v>
      </c>
      <c r="N372" t="s">
        <v>1</v>
      </c>
      <c r="O372" t="s">
        <v>65</v>
      </c>
      <c r="P372" t="s">
        <v>36</v>
      </c>
      <c r="Q372">
        <v>461.58800000000002</v>
      </c>
    </row>
    <row r="373" spans="13:17" x14ac:dyDescent="0.25">
      <c r="M373">
        <v>1975</v>
      </c>
      <c r="N373" t="s">
        <v>1</v>
      </c>
      <c r="O373" t="s">
        <v>65</v>
      </c>
      <c r="P373" t="s">
        <v>36</v>
      </c>
      <c r="Q373">
        <v>416.048</v>
      </c>
    </row>
    <row r="374" spans="13:17" x14ac:dyDescent="0.25">
      <c r="M374">
        <v>1976</v>
      </c>
      <c r="N374" t="s">
        <v>1</v>
      </c>
      <c r="O374" t="s">
        <v>65</v>
      </c>
      <c r="P374" t="s">
        <v>36</v>
      </c>
      <c r="Q374">
        <v>312</v>
      </c>
    </row>
    <row r="375" spans="13:17" x14ac:dyDescent="0.25">
      <c r="M375">
        <v>1977</v>
      </c>
      <c r="N375" t="s">
        <v>1</v>
      </c>
      <c r="O375" t="s">
        <v>65</v>
      </c>
      <c r="P375" t="s">
        <v>36</v>
      </c>
      <c r="Q375">
        <v>417</v>
      </c>
    </row>
    <row r="376" spans="13:17" x14ac:dyDescent="0.25">
      <c r="M376">
        <v>1978</v>
      </c>
      <c r="N376" t="s">
        <v>1</v>
      </c>
      <c r="O376" t="s">
        <v>65</v>
      </c>
      <c r="P376" t="s">
        <v>36</v>
      </c>
      <c r="Q376">
        <v>756</v>
      </c>
    </row>
    <row r="377" spans="13:17" x14ac:dyDescent="0.25">
      <c r="M377">
        <v>1979</v>
      </c>
      <c r="N377" t="s">
        <v>1</v>
      </c>
      <c r="O377" t="s">
        <v>65</v>
      </c>
      <c r="P377" t="s">
        <v>36</v>
      </c>
      <c r="Q377">
        <v>475</v>
      </c>
    </row>
    <row r="378" spans="13:17" x14ac:dyDescent="0.25">
      <c r="M378">
        <v>1980</v>
      </c>
      <c r="N378" t="s">
        <v>1</v>
      </c>
      <c r="O378" t="s">
        <v>65</v>
      </c>
      <c r="P378" t="s">
        <v>36</v>
      </c>
      <c r="Q378">
        <v>501</v>
      </c>
    </row>
    <row r="379" spans="13:17" x14ac:dyDescent="0.25">
      <c r="M379">
        <v>1981</v>
      </c>
      <c r="N379" t="s">
        <v>1</v>
      </c>
      <c r="O379" t="s">
        <v>65</v>
      </c>
      <c r="P379" t="s">
        <v>36</v>
      </c>
      <c r="Q379">
        <v>461</v>
      </c>
    </row>
    <row r="380" spans="13:17" x14ac:dyDescent="0.25">
      <c r="M380">
        <v>1982</v>
      </c>
      <c r="N380" t="s">
        <v>1</v>
      </c>
      <c r="O380" t="s">
        <v>65</v>
      </c>
      <c r="P380" t="s">
        <v>36</v>
      </c>
      <c r="Q380">
        <v>356</v>
      </c>
    </row>
    <row r="381" spans="13:17" x14ac:dyDescent="0.25">
      <c r="M381">
        <v>1983</v>
      </c>
      <c r="N381" t="s">
        <v>1</v>
      </c>
      <c r="O381" t="s">
        <v>65</v>
      </c>
      <c r="P381" t="s">
        <v>36</v>
      </c>
      <c r="Q381">
        <v>366</v>
      </c>
    </row>
    <row r="382" spans="13:17" x14ac:dyDescent="0.25">
      <c r="M382">
        <v>1984</v>
      </c>
      <c r="N382" t="s">
        <v>1</v>
      </c>
      <c r="O382" t="s">
        <v>65</v>
      </c>
      <c r="P382" t="s">
        <v>36</v>
      </c>
      <c r="Q382">
        <v>293.6069</v>
      </c>
    </row>
    <row r="383" spans="13:17" x14ac:dyDescent="0.25">
      <c r="M383">
        <v>1985</v>
      </c>
      <c r="N383" t="s">
        <v>1</v>
      </c>
      <c r="O383" t="s">
        <v>65</v>
      </c>
      <c r="P383" t="s">
        <v>36</v>
      </c>
      <c r="Q383">
        <v>298.05549999999999</v>
      </c>
    </row>
    <row r="384" spans="13:17" x14ac:dyDescent="0.25">
      <c r="M384">
        <v>1986</v>
      </c>
      <c r="N384" t="s">
        <v>1</v>
      </c>
      <c r="O384" t="s">
        <v>65</v>
      </c>
      <c r="P384" t="s">
        <v>36</v>
      </c>
      <c r="Q384">
        <v>468.5616</v>
      </c>
    </row>
    <row r="385" spans="13:17" x14ac:dyDescent="0.25">
      <c r="M385">
        <v>1987</v>
      </c>
      <c r="N385" t="s">
        <v>1</v>
      </c>
      <c r="O385" t="s">
        <v>65</v>
      </c>
      <c r="P385" t="s">
        <v>36</v>
      </c>
      <c r="Q385">
        <v>324.65440000000001</v>
      </c>
    </row>
    <row r="386" spans="13:17" x14ac:dyDescent="0.25">
      <c r="M386">
        <v>1988</v>
      </c>
      <c r="N386" t="s">
        <v>1</v>
      </c>
      <c r="O386" t="s">
        <v>65</v>
      </c>
      <c r="P386" t="s">
        <v>36</v>
      </c>
      <c r="Q386">
        <v>468.30680000000001</v>
      </c>
    </row>
    <row r="387" spans="13:17" x14ac:dyDescent="0.25">
      <c r="M387">
        <v>1989</v>
      </c>
      <c r="N387" t="s">
        <v>1</v>
      </c>
      <c r="O387" t="s">
        <v>65</v>
      </c>
      <c r="P387" t="s">
        <v>36</v>
      </c>
      <c r="Q387">
        <v>344.85840000000002</v>
      </c>
    </row>
    <row r="388" spans="13:17" x14ac:dyDescent="0.25">
      <c r="M388">
        <v>1990</v>
      </c>
      <c r="N388" t="s">
        <v>1</v>
      </c>
      <c r="O388" t="s">
        <v>65</v>
      </c>
      <c r="P388" t="s">
        <v>36</v>
      </c>
      <c r="Q388">
        <v>379.27319999999997</v>
      </c>
    </row>
    <row r="389" spans="13:17" x14ac:dyDescent="0.25">
      <c r="M389">
        <v>1991</v>
      </c>
      <c r="N389" t="s">
        <v>1</v>
      </c>
      <c r="O389" t="s">
        <v>65</v>
      </c>
      <c r="P389" t="s">
        <v>36</v>
      </c>
      <c r="Q389">
        <v>397.4794</v>
      </c>
    </row>
    <row r="390" spans="13:17" x14ac:dyDescent="0.25">
      <c r="M390">
        <v>1992</v>
      </c>
      <c r="N390" t="s">
        <v>1</v>
      </c>
      <c r="O390" t="s">
        <v>65</v>
      </c>
      <c r="P390" t="s">
        <v>36</v>
      </c>
      <c r="Q390">
        <v>0</v>
      </c>
    </row>
    <row r="391" spans="13:17" x14ac:dyDescent="0.25">
      <c r="M391">
        <v>1993</v>
      </c>
      <c r="N391" t="s">
        <v>1</v>
      </c>
      <c r="O391" t="s">
        <v>65</v>
      </c>
      <c r="P391" t="s">
        <v>36</v>
      </c>
      <c r="Q391">
        <v>0</v>
      </c>
    </row>
    <row r="392" spans="13:17" x14ac:dyDescent="0.25">
      <c r="M392">
        <v>1995</v>
      </c>
      <c r="N392" t="s">
        <v>1</v>
      </c>
      <c r="O392" t="s">
        <v>65</v>
      </c>
      <c r="P392" t="s">
        <v>36</v>
      </c>
      <c r="Q392">
        <v>11</v>
      </c>
    </row>
    <row r="393" spans="13:17" x14ac:dyDescent="0.25">
      <c r="M393">
        <v>1996</v>
      </c>
      <c r="N393" t="s">
        <v>1</v>
      </c>
      <c r="O393" t="s">
        <v>65</v>
      </c>
      <c r="P393" t="s">
        <v>36</v>
      </c>
      <c r="Q393">
        <v>10</v>
      </c>
    </row>
    <row r="394" spans="13:17" x14ac:dyDescent="0.25">
      <c r="M394">
        <v>1997</v>
      </c>
      <c r="N394" t="s">
        <v>1</v>
      </c>
      <c r="O394" t="s">
        <v>65</v>
      </c>
      <c r="P394" t="s">
        <v>36</v>
      </c>
      <c r="Q394">
        <v>12</v>
      </c>
    </row>
    <row r="395" spans="13:17" x14ac:dyDescent="0.25">
      <c r="M395">
        <v>1998</v>
      </c>
      <c r="N395" t="s">
        <v>1</v>
      </c>
      <c r="O395" t="s">
        <v>65</v>
      </c>
      <c r="P395" t="s">
        <v>36</v>
      </c>
      <c r="Q395">
        <v>12</v>
      </c>
    </row>
    <row r="396" spans="13:17" x14ac:dyDescent="0.25">
      <c r="M396">
        <v>1999</v>
      </c>
      <c r="N396" t="s">
        <v>1</v>
      </c>
      <c r="O396" t="s">
        <v>65</v>
      </c>
      <c r="P396" t="s">
        <v>36</v>
      </c>
      <c r="Q396">
        <v>0</v>
      </c>
    </row>
    <row r="397" spans="13:17" x14ac:dyDescent="0.25">
      <c r="M397">
        <v>2000</v>
      </c>
      <c r="N397" t="s">
        <v>1</v>
      </c>
      <c r="O397" t="s">
        <v>65</v>
      </c>
      <c r="P397" t="s">
        <v>36</v>
      </c>
      <c r="Q397">
        <v>11</v>
      </c>
    </row>
    <row r="398" spans="13:17" x14ac:dyDescent="0.25">
      <c r="M398">
        <v>2003</v>
      </c>
      <c r="N398" t="s">
        <v>1</v>
      </c>
      <c r="O398" t="s">
        <v>65</v>
      </c>
      <c r="P398" t="s">
        <v>36</v>
      </c>
      <c r="Q398">
        <v>6.5</v>
      </c>
    </row>
    <row r="399" spans="13:17" x14ac:dyDescent="0.25">
      <c r="M399">
        <v>2004</v>
      </c>
      <c r="N399" t="s">
        <v>1</v>
      </c>
      <c r="O399" t="s">
        <v>65</v>
      </c>
      <c r="P399" t="s">
        <v>36</v>
      </c>
      <c r="Q399">
        <v>5.3</v>
      </c>
    </row>
    <row r="400" spans="13:17" x14ac:dyDescent="0.25">
      <c r="M400">
        <v>2005</v>
      </c>
      <c r="N400" t="s">
        <v>1</v>
      </c>
      <c r="O400" t="s">
        <v>65</v>
      </c>
      <c r="P400" t="s">
        <v>36</v>
      </c>
      <c r="Q400">
        <v>5.54</v>
      </c>
    </row>
    <row r="401" spans="13:17" x14ac:dyDescent="0.25">
      <c r="M401">
        <v>2008</v>
      </c>
      <c r="N401" t="s">
        <v>1</v>
      </c>
      <c r="O401" t="s">
        <v>65</v>
      </c>
      <c r="P401" t="s">
        <v>36</v>
      </c>
      <c r="Q401">
        <v>27.46594</v>
      </c>
    </row>
    <row r="402" spans="13:17" x14ac:dyDescent="0.25">
      <c r="M402">
        <v>2014</v>
      </c>
      <c r="N402" t="s">
        <v>1</v>
      </c>
      <c r="O402" t="s">
        <v>65</v>
      </c>
      <c r="P402" t="s">
        <v>36</v>
      </c>
      <c r="Q402">
        <v>2.1579000000000002</v>
      </c>
    </row>
    <row r="403" spans="13:17" x14ac:dyDescent="0.25">
      <c r="M403">
        <v>2015</v>
      </c>
      <c r="N403" t="s">
        <v>1</v>
      </c>
      <c r="O403" t="s">
        <v>65</v>
      </c>
      <c r="P403" t="s">
        <v>36</v>
      </c>
      <c r="Q403">
        <v>32.07949</v>
      </c>
    </row>
    <row r="404" spans="13:17" x14ac:dyDescent="0.25">
      <c r="M404">
        <v>2020</v>
      </c>
      <c r="N404" t="s">
        <v>1</v>
      </c>
      <c r="O404" t="s">
        <v>65</v>
      </c>
      <c r="P404" t="s">
        <v>36</v>
      </c>
      <c r="Q404">
        <v>17.942</v>
      </c>
    </row>
    <row r="405" spans="13:17" x14ac:dyDescent="0.25">
      <c r="M405">
        <v>2021</v>
      </c>
      <c r="N405" t="s">
        <v>1</v>
      </c>
      <c r="O405" t="s">
        <v>65</v>
      </c>
      <c r="P405" t="s">
        <v>36</v>
      </c>
      <c r="Q405">
        <v>17.628</v>
      </c>
    </row>
    <row r="406" spans="13:17" x14ac:dyDescent="0.25">
      <c r="M406">
        <v>2022</v>
      </c>
      <c r="N406" t="s">
        <v>1</v>
      </c>
      <c r="O406" t="s">
        <v>65</v>
      </c>
      <c r="P406" t="s">
        <v>36</v>
      </c>
      <c r="Q406">
        <v>35.880000000000003</v>
      </c>
    </row>
    <row r="407" spans="13:17" x14ac:dyDescent="0.25">
      <c r="M407">
        <v>2023</v>
      </c>
      <c r="N407" t="s">
        <v>1</v>
      </c>
      <c r="O407" t="s">
        <v>65</v>
      </c>
      <c r="P407" t="s">
        <v>36</v>
      </c>
      <c r="Q407">
        <v>24.3</v>
      </c>
    </row>
    <row r="408" spans="13:17" x14ac:dyDescent="0.25">
      <c r="M408">
        <v>2024</v>
      </c>
      <c r="N408" t="s">
        <v>1</v>
      </c>
      <c r="O408" t="s">
        <v>65</v>
      </c>
      <c r="P408" t="s">
        <v>36</v>
      </c>
      <c r="Q408">
        <v>14.837</v>
      </c>
    </row>
    <row r="409" spans="13:17" x14ac:dyDescent="0.25">
      <c r="M409">
        <v>1950</v>
      </c>
      <c r="N409" t="s">
        <v>2</v>
      </c>
      <c r="O409" t="s">
        <v>58</v>
      </c>
      <c r="P409" t="s">
        <v>36</v>
      </c>
      <c r="Q409">
        <v>586</v>
      </c>
    </row>
    <row r="410" spans="13:17" x14ac:dyDescent="0.25">
      <c r="M410">
        <v>1951</v>
      </c>
      <c r="N410" t="s">
        <v>2</v>
      </c>
      <c r="O410" t="s">
        <v>58</v>
      </c>
      <c r="P410" t="s">
        <v>36</v>
      </c>
      <c r="Q410">
        <v>580</v>
      </c>
    </row>
    <row r="411" spans="13:17" x14ac:dyDescent="0.25">
      <c r="M411">
        <v>1952</v>
      </c>
      <c r="N411" t="s">
        <v>2</v>
      </c>
      <c r="O411" t="s">
        <v>58</v>
      </c>
      <c r="P411" t="s">
        <v>36</v>
      </c>
      <c r="Q411">
        <v>337</v>
      </c>
    </row>
    <row r="412" spans="13:17" x14ac:dyDescent="0.25">
      <c r="M412">
        <v>1953</v>
      </c>
      <c r="N412" t="s">
        <v>2</v>
      </c>
      <c r="O412" t="s">
        <v>58</v>
      </c>
      <c r="P412" t="s">
        <v>36</v>
      </c>
      <c r="Q412">
        <v>501</v>
      </c>
    </row>
    <row r="413" spans="13:17" x14ac:dyDescent="0.25">
      <c r="M413">
        <v>1954</v>
      </c>
      <c r="N413" t="s">
        <v>2</v>
      </c>
      <c r="O413" t="s">
        <v>58</v>
      </c>
      <c r="P413" t="s">
        <v>36</v>
      </c>
      <c r="Q413">
        <v>452</v>
      </c>
    </row>
    <row r="414" spans="13:17" x14ac:dyDescent="0.25">
      <c r="M414">
        <v>1955</v>
      </c>
      <c r="N414" t="s">
        <v>2</v>
      </c>
      <c r="O414" t="s">
        <v>58</v>
      </c>
      <c r="P414" t="s">
        <v>36</v>
      </c>
      <c r="Q414">
        <v>340</v>
      </c>
    </row>
    <row r="415" spans="13:17" x14ac:dyDescent="0.25">
      <c r="M415">
        <v>1956</v>
      </c>
      <c r="N415" t="s">
        <v>2</v>
      </c>
      <c r="O415" t="s">
        <v>58</v>
      </c>
      <c r="P415" t="s">
        <v>36</v>
      </c>
      <c r="Q415">
        <v>393</v>
      </c>
    </row>
    <row r="416" spans="13:17" x14ac:dyDescent="0.25">
      <c r="M416">
        <v>1957</v>
      </c>
      <c r="N416" t="s">
        <v>2</v>
      </c>
      <c r="O416" t="s">
        <v>58</v>
      </c>
      <c r="P416" t="s">
        <v>36</v>
      </c>
      <c r="Q416">
        <v>395</v>
      </c>
    </row>
    <row r="417" spans="13:17" x14ac:dyDescent="0.25">
      <c r="M417">
        <v>1958</v>
      </c>
      <c r="N417" t="s">
        <v>2</v>
      </c>
      <c r="O417" t="s">
        <v>58</v>
      </c>
      <c r="P417" t="s">
        <v>36</v>
      </c>
      <c r="Q417">
        <v>414</v>
      </c>
    </row>
    <row r="418" spans="13:17" x14ac:dyDescent="0.25">
      <c r="M418">
        <v>1959</v>
      </c>
      <c r="N418" t="s">
        <v>2</v>
      </c>
      <c r="O418" t="s">
        <v>58</v>
      </c>
      <c r="P418" t="s">
        <v>36</v>
      </c>
      <c r="Q418">
        <v>400.66699999999997</v>
      </c>
    </row>
    <row r="419" spans="13:17" x14ac:dyDescent="0.25">
      <c r="M419">
        <v>1960</v>
      </c>
      <c r="N419" t="s">
        <v>2</v>
      </c>
      <c r="O419" t="s">
        <v>58</v>
      </c>
      <c r="P419" t="s">
        <v>36</v>
      </c>
      <c r="Q419">
        <v>403.22199999999998</v>
      </c>
    </row>
    <row r="420" spans="13:17" x14ac:dyDescent="0.25">
      <c r="M420">
        <v>1961</v>
      </c>
      <c r="N420" t="s">
        <v>2</v>
      </c>
      <c r="O420" t="s">
        <v>58</v>
      </c>
      <c r="P420" t="s">
        <v>36</v>
      </c>
      <c r="Q420">
        <v>405.96300000000002</v>
      </c>
    </row>
    <row r="421" spans="13:17" x14ac:dyDescent="0.25">
      <c r="M421">
        <v>1962</v>
      </c>
      <c r="N421" t="s">
        <v>2</v>
      </c>
      <c r="O421" t="s">
        <v>58</v>
      </c>
      <c r="P421" t="s">
        <v>36</v>
      </c>
      <c r="Q421">
        <v>403.28399999999999</v>
      </c>
    </row>
    <row r="422" spans="13:17" x14ac:dyDescent="0.25">
      <c r="M422">
        <v>1963</v>
      </c>
      <c r="N422" t="s">
        <v>2</v>
      </c>
      <c r="O422" t="s">
        <v>58</v>
      </c>
      <c r="P422" t="s">
        <v>36</v>
      </c>
      <c r="Q422">
        <v>404.15600000000001</v>
      </c>
    </row>
    <row r="423" spans="13:17" x14ac:dyDescent="0.25">
      <c r="M423">
        <v>1964</v>
      </c>
      <c r="N423" t="s">
        <v>2</v>
      </c>
      <c r="O423" t="s">
        <v>58</v>
      </c>
      <c r="P423" t="s">
        <v>36</v>
      </c>
      <c r="Q423">
        <v>404.46800000000002</v>
      </c>
    </row>
    <row r="424" spans="13:17" x14ac:dyDescent="0.25">
      <c r="M424">
        <v>1965</v>
      </c>
      <c r="N424" t="s">
        <v>2</v>
      </c>
      <c r="O424" t="s">
        <v>58</v>
      </c>
      <c r="P424" t="s">
        <v>36</v>
      </c>
      <c r="Q424">
        <v>1200</v>
      </c>
    </row>
    <row r="425" spans="13:17" x14ac:dyDescent="0.25">
      <c r="M425">
        <v>1966</v>
      </c>
      <c r="N425" t="s">
        <v>2</v>
      </c>
      <c r="O425" t="s">
        <v>58</v>
      </c>
      <c r="P425" t="s">
        <v>36</v>
      </c>
      <c r="Q425">
        <v>1000</v>
      </c>
    </row>
    <row r="426" spans="13:17" x14ac:dyDescent="0.25">
      <c r="M426">
        <v>1967</v>
      </c>
      <c r="N426" t="s">
        <v>2</v>
      </c>
      <c r="O426" t="s">
        <v>58</v>
      </c>
      <c r="P426" t="s">
        <v>36</v>
      </c>
      <c r="Q426">
        <v>700</v>
      </c>
    </row>
    <row r="427" spans="13:17" x14ac:dyDescent="0.25">
      <c r="M427">
        <v>1968</v>
      </c>
      <c r="N427" t="s">
        <v>2</v>
      </c>
      <c r="O427" t="s">
        <v>58</v>
      </c>
      <c r="P427" t="s">
        <v>36</v>
      </c>
      <c r="Q427">
        <v>1000</v>
      </c>
    </row>
    <row r="428" spans="13:17" x14ac:dyDescent="0.25">
      <c r="M428">
        <v>1969</v>
      </c>
      <c r="N428" t="s">
        <v>2</v>
      </c>
      <c r="O428" t="s">
        <v>58</v>
      </c>
      <c r="P428" t="s">
        <v>36</v>
      </c>
      <c r="Q428">
        <v>1100</v>
      </c>
    </row>
    <row r="429" spans="13:17" x14ac:dyDescent="0.25">
      <c r="M429">
        <v>1970</v>
      </c>
      <c r="N429" t="s">
        <v>2</v>
      </c>
      <c r="O429" t="s">
        <v>58</v>
      </c>
      <c r="P429" t="s">
        <v>36</v>
      </c>
      <c r="Q429">
        <v>900</v>
      </c>
    </row>
    <row r="430" spans="13:17" x14ac:dyDescent="0.25">
      <c r="M430">
        <v>1971</v>
      </c>
      <c r="N430" t="s">
        <v>2</v>
      </c>
      <c r="O430" t="s">
        <v>58</v>
      </c>
      <c r="P430" t="s">
        <v>36</v>
      </c>
      <c r="Q430">
        <v>1100</v>
      </c>
    </row>
    <row r="431" spans="13:17" x14ac:dyDescent="0.25">
      <c r="M431">
        <v>1972</v>
      </c>
      <c r="N431" t="s">
        <v>2</v>
      </c>
      <c r="O431" t="s">
        <v>58</v>
      </c>
      <c r="P431" t="s">
        <v>36</v>
      </c>
      <c r="Q431">
        <v>1300</v>
      </c>
    </row>
    <row r="432" spans="13:17" x14ac:dyDescent="0.25">
      <c r="M432">
        <v>1973</v>
      </c>
      <c r="N432" t="s">
        <v>2</v>
      </c>
      <c r="O432" t="s">
        <v>58</v>
      </c>
      <c r="P432" t="s">
        <v>36</v>
      </c>
      <c r="Q432">
        <v>1105</v>
      </c>
    </row>
    <row r="433" spans="13:17" x14ac:dyDescent="0.25">
      <c r="M433">
        <v>1974</v>
      </c>
      <c r="N433" t="s">
        <v>2</v>
      </c>
      <c r="O433" t="s">
        <v>58</v>
      </c>
      <c r="P433" t="s">
        <v>36</v>
      </c>
      <c r="Q433">
        <v>700</v>
      </c>
    </row>
    <row r="434" spans="13:17" x14ac:dyDescent="0.25">
      <c r="M434">
        <v>1975</v>
      </c>
      <c r="N434" t="s">
        <v>2</v>
      </c>
      <c r="O434" t="s">
        <v>58</v>
      </c>
      <c r="P434" t="s">
        <v>36</v>
      </c>
      <c r="Q434">
        <v>89</v>
      </c>
    </row>
    <row r="435" spans="13:17" x14ac:dyDescent="0.25">
      <c r="M435">
        <v>1976</v>
      </c>
      <c r="N435" t="s">
        <v>2</v>
      </c>
      <c r="O435" t="s">
        <v>58</v>
      </c>
      <c r="P435" t="s">
        <v>36</v>
      </c>
      <c r="Q435">
        <v>89</v>
      </c>
    </row>
    <row r="436" spans="13:17" x14ac:dyDescent="0.25">
      <c r="M436">
        <v>1977</v>
      </c>
      <c r="N436" t="s">
        <v>2</v>
      </c>
      <c r="O436" t="s">
        <v>58</v>
      </c>
      <c r="P436" t="s">
        <v>36</v>
      </c>
      <c r="Q436">
        <v>667</v>
      </c>
    </row>
    <row r="437" spans="13:17" x14ac:dyDescent="0.25">
      <c r="M437">
        <v>1978</v>
      </c>
      <c r="N437" t="s">
        <v>2</v>
      </c>
      <c r="O437" t="s">
        <v>58</v>
      </c>
      <c r="P437" t="s">
        <v>36</v>
      </c>
      <c r="Q437">
        <v>720</v>
      </c>
    </row>
    <row r="438" spans="13:17" x14ac:dyDescent="0.25">
      <c r="M438">
        <v>1979</v>
      </c>
      <c r="N438" t="s">
        <v>2</v>
      </c>
      <c r="O438" t="s">
        <v>58</v>
      </c>
      <c r="P438" t="s">
        <v>36</v>
      </c>
      <c r="Q438">
        <v>800</v>
      </c>
    </row>
    <row r="439" spans="13:17" x14ac:dyDescent="0.25">
      <c r="M439">
        <v>1980</v>
      </c>
      <c r="N439" t="s">
        <v>2</v>
      </c>
      <c r="O439" t="s">
        <v>58</v>
      </c>
      <c r="P439" t="s">
        <v>36</v>
      </c>
      <c r="Q439">
        <v>750</v>
      </c>
    </row>
    <row r="440" spans="13:17" x14ac:dyDescent="0.25">
      <c r="M440">
        <v>1981</v>
      </c>
      <c r="N440" t="s">
        <v>2</v>
      </c>
      <c r="O440" t="s">
        <v>58</v>
      </c>
      <c r="P440" t="s">
        <v>36</v>
      </c>
      <c r="Q440">
        <v>1120</v>
      </c>
    </row>
    <row r="441" spans="13:17" x14ac:dyDescent="0.25">
      <c r="M441">
        <v>1982</v>
      </c>
      <c r="N441" t="s">
        <v>2</v>
      </c>
      <c r="O441" t="s">
        <v>58</v>
      </c>
      <c r="P441" t="s">
        <v>36</v>
      </c>
      <c r="Q441">
        <v>900</v>
      </c>
    </row>
    <row r="442" spans="13:17" x14ac:dyDescent="0.25">
      <c r="M442">
        <v>1983</v>
      </c>
      <c r="N442" t="s">
        <v>2</v>
      </c>
      <c r="O442" t="s">
        <v>58</v>
      </c>
      <c r="P442" t="s">
        <v>36</v>
      </c>
      <c r="Q442">
        <v>1321</v>
      </c>
    </row>
    <row r="443" spans="13:17" x14ac:dyDescent="0.25">
      <c r="M443">
        <v>1984</v>
      </c>
      <c r="N443" t="s">
        <v>2</v>
      </c>
      <c r="O443" t="s">
        <v>58</v>
      </c>
      <c r="P443" t="s">
        <v>36</v>
      </c>
      <c r="Q443">
        <v>1243</v>
      </c>
    </row>
    <row r="444" spans="13:17" x14ac:dyDescent="0.25">
      <c r="M444">
        <v>1985</v>
      </c>
      <c r="N444" t="s">
        <v>2</v>
      </c>
      <c r="O444" t="s">
        <v>58</v>
      </c>
      <c r="P444" t="s">
        <v>36</v>
      </c>
      <c r="Q444">
        <v>1219</v>
      </c>
    </row>
    <row r="445" spans="13:17" x14ac:dyDescent="0.25">
      <c r="M445">
        <v>1986</v>
      </c>
      <c r="N445" t="s">
        <v>2</v>
      </c>
      <c r="O445" t="s">
        <v>58</v>
      </c>
      <c r="P445" t="s">
        <v>36</v>
      </c>
      <c r="Q445">
        <v>1337</v>
      </c>
    </row>
    <row r="446" spans="13:17" x14ac:dyDescent="0.25">
      <c r="M446">
        <v>1987</v>
      </c>
      <c r="N446" t="s">
        <v>2</v>
      </c>
      <c r="O446" t="s">
        <v>58</v>
      </c>
      <c r="P446" t="s">
        <v>36</v>
      </c>
      <c r="Q446">
        <v>1133.9690000000001</v>
      </c>
    </row>
    <row r="447" spans="13:17" x14ac:dyDescent="0.25">
      <c r="M447">
        <v>1988</v>
      </c>
      <c r="N447" t="s">
        <v>2</v>
      </c>
      <c r="O447" t="s">
        <v>58</v>
      </c>
      <c r="P447" t="s">
        <v>36</v>
      </c>
      <c r="Q447">
        <v>1760</v>
      </c>
    </row>
    <row r="448" spans="13:17" x14ac:dyDescent="0.25">
      <c r="M448">
        <v>1989</v>
      </c>
      <c r="N448" t="s">
        <v>2</v>
      </c>
      <c r="O448" t="s">
        <v>58</v>
      </c>
      <c r="P448" t="s">
        <v>36</v>
      </c>
      <c r="Q448">
        <v>1250</v>
      </c>
    </row>
    <row r="449" spans="13:17" x14ac:dyDescent="0.25">
      <c r="M449">
        <v>1990</v>
      </c>
      <c r="N449" t="s">
        <v>2</v>
      </c>
      <c r="O449" t="s">
        <v>58</v>
      </c>
      <c r="P449" t="s">
        <v>36</v>
      </c>
      <c r="Q449">
        <v>1438</v>
      </c>
    </row>
    <row r="450" spans="13:17" x14ac:dyDescent="0.25">
      <c r="M450">
        <v>1991</v>
      </c>
      <c r="N450" t="s">
        <v>2</v>
      </c>
      <c r="O450" t="s">
        <v>58</v>
      </c>
      <c r="P450" t="s">
        <v>36</v>
      </c>
      <c r="Q450">
        <v>1132</v>
      </c>
    </row>
    <row r="451" spans="13:17" x14ac:dyDescent="0.25">
      <c r="M451">
        <v>1992</v>
      </c>
      <c r="N451" t="s">
        <v>2</v>
      </c>
      <c r="O451" t="s">
        <v>58</v>
      </c>
      <c r="P451" t="s">
        <v>36</v>
      </c>
      <c r="Q451">
        <v>790</v>
      </c>
    </row>
    <row r="452" spans="13:17" x14ac:dyDescent="0.25">
      <c r="M452">
        <v>1993</v>
      </c>
      <c r="N452" t="s">
        <v>2</v>
      </c>
      <c r="O452" t="s">
        <v>58</v>
      </c>
      <c r="P452" t="s">
        <v>36</v>
      </c>
      <c r="Q452">
        <v>1293</v>
      </c>
    </row>
    <row r="453" spans="13:17" x14ac:dyDescent="0.25">
      <c r="M453">
        <v>1994</v>
      </c>
      <c r="N453" t="s">
        <v>2</v>
      </c>
      <c r="O453" t="s">
        <v>58</v>
      </c>
      <c r="P453" t="s">
        <v>36</v>
      </c>
      <c r="Q453">
        <v>1402</v>
      </c>
    </row>
    <row r="454" spans="13:17" x14ac:dyDescent="0.25">
      <c r="M454">
        <v>1995</v>
      </c>
      <c r="N454" t="s">
        <v>2</v>
      </c>
      <c r="O454" t="s">
        <v>58</v>
      </c>
      <c r="P454" t="s">
        <v>36</v>
      </c>
      <c r="Q454">
        <v>1351</v>
      </c>
    </row>
    <row r="455" spans="13:17" x14ac:dyDescent="0.25">
      <c r="M455">
        <v>1996</v>
      </c>
      <c r="N455" t="s">
        <v>2</v>
      </c>
      <c r="O455" t="s">
        <v>58</v>
      </c>
      <c r="P455" t="s">
        <v>36</v>
      </c>
      <c r="Q455">
        <v>1040</v>
      </c>
    </row>
    <row r="456" spans="13:17" x14ac:dyDescent="0.25">
      <c r="M456">
        <v>1997</v>
      </c>
      <c r="N456" t="s">
        <v>2</v>
      </c>
      <c r="O456" t="s">
        <v>58</v>
      </c>
      <c r="P456" t="s">
        <v>36</v>
      </c>
      <c r="Q456">
        <v>1184</v>
      </c>
    </row>
    <row r="457" spans="13:17" x14ac:dyDescent="0.25">
      <c r="M457">
        <v>1998</v>
      </c>
      <c r="N457" t="s">
        <v>2</v>
      </c>
      <c r="O457" t="s">
        <v>58</v>
      </c>
      <c r="P457" t="s">
        <v>36</v>
      </c>
      <c r="Q457">
        <v>1409</v>
      </c>
    </row>
    <row r="458" spans="13:17" x14ac:dyDescent="0.25">
      <c r="M458">
        <v>1999</v>
      </c>
      <c r="N458" t="s">
        <v>2</v>
      </c>
      <c r="O458" t="s">
        <v>58</v>
      </c>
      <c r="P458" t="s">
        <v>36</v>
      </c>
      <c r="Q458">
        <v>866.7</v>
      </c>
    </row>
    <row r="459" spans="13:17" x14ac:dyDescent="0.25">
      <c r="M459">
        <v>2000</v>
      </c>
      <c r="N459" t="s">
        <v>2</v>
      </c>
      <c r="O459" t="s">
        <v>58</v>
      </c>
      <c r="P459" t="s">
        <v>36</v>
      </c>
      <c r="Q459">
        <v>1395.713</v>
      </c>
    </row>
    <row r="460" spans="13:17" x14ac:dyDescent="0.25">
      <c r="M460">
        <v>2001</v>
      </c>
      <c r="N460" t="s">
        <v>2</v>
      </c>
      <c r="O460" t="s">
        <v>58</v>
      </c>
      <c r="P460" t="s">
        <v>36</v>
      </c>
      <c r="Q460">
        <v>1401.8</v>
      </c>
    </row>
    <row r="461" spans="13:17" x14ac:dyDescent="0.25">
      <c r="M461">
        <v>2002</v>
      </c>
      <c r="N461" t="s">
        <v>2</v>
      </c>
      <c r="O461" t="s">
        <v>58</v>
      </c>
      <c r="P461" t="s">
        <v>36</v>
      </c>
      <c r="Q461">
        <v>1420.7</v>
      </c>
    </row>
    <row r="462" spans="13:17" x14ac:dyDescent="0.25">
      <c r="M462">
        <v>2003</v>
      </c>
      <c r="N462" t="s">
        <v>2</v>
      </c>
      <c r="O462" t="s">
        <v>58</v>
      </c>
      <c r="P462" t="s">
        <v>36</v>
      </c>
      <c r="Q462">
        <v>1164.963</v>
      </c>
    </row>
    <row r="463" spans="13:17" x14ac:dyDescent="0.25">
      <c r="M463">
        <v>2004</v>
      </c>
      <c r="N463" t="s">
        <v>2</v>
      </c>
      <c r="O463" t="s">
        <v>58</v>
      </c>
      <c r="P463" t="s">
        <v>36</v>
      </c>
      <c r="Q463">
        <v>929.56899999999996</v>
      </c>
    </row>
    <row r="464" spans="13:17" x14ac:dyDescent="0.25">
      <c r="M464">
        <v>2005</v>
      </c>
      <c r="N464" t="s">
        <v>2</v>
      </c>
      <c r="O464" t="s">
        <v>58</v>
      </c>
      <c r="P464" t="s">
        <v>36</v>
      </c>
      <c r="Q464">
        <v>860.25699999999995</v>
      </c>
    </row>
    <row r="465" spans="13:17" x14ac:dyDescent="0.25">
      <c r="M465">
        <v>2006</v>
      </c>
      <c r="N465" t="s">
        <v>2</v>
      </c>
      <c r="O465" t="s">
        <v>58</v>
      </c>
      <c r="P465" t="s">
        <v>36</v>
      </c>
      <c r="Q465">
        <v>1405.3679999999999</v>
      </c>
    </row>
    <row r="466" spans="13:17" x14ac:dyDescent="0.25">
      <c r="M466">
        <v>2007</v>
      </c>
      <c r="N466" t="s">
        <v>2</v>
      </c>
      <c r="O466" t="s">
        <v>58</v>
      </c>
      <c r="P466" t="s">
        <v>36</v>
      </c>
      <c r="Q466">
        <v>1648.1874</v>
      </c>
    </row>
    <row r="467" spans="13:17" x14ac:dyDescent="0.25">
      <c r="M467">
        <v>2008</v>
      </c>
      <c r="N467" t="s">
        <v>2</v>
      </c>
      <c r="O467" t="s">
        <v>58</v>
      </c>
      <c r="P467" t="s">
        <v>36</v>
      </c>
      <c r="Q467">
        <v>2062.8020000000001</v>
      </c>
    </row>
    <row r="468" spans="13:17" x14ac:dyDescent="0.25">
      <c r="M468">
        <v>2009</v>
      </c>
      <c r="N468" t="s">
        <v>2</v>
      </c>
      <c r="O468" t="s">
        <v>58</v>
      </c>
      <c r="P468" t="s">
        <v>36</v>
      </c>
      <c r="Q468">
        <v>1994.357</v>
      </c>
    </row>
    <row r="469" spans="13:17" x14ac:dyDescent="0.25">
      <c r="M469">
        <v>2010</v>
      </c>
      <c r="N469" t="s">
        <v>2</v>
      </c>
      <c r="O469" t="s">
        <v>58</v>
      </c>
      <c r="P469" t="s">
        <v>36</v>
      </c>
      <c r="Q469">
        <v>1785.4079999999999</v>
      </c>
    </row>
    <row r="470" spans="13:17" x14ac:dyDescent="0.25">
      <c r="M470">
        <v>2011</v>
      </c>
      <c r="N470" t="s">
        <v>2</v>
      </c>
      <c r="O470" t="s">
        <v>58</v>
      </c>
      <c r="P470" t="s">
        <v>36</v>
      </c>
      <c r="Q470">
        <v>1730.1590000000001</v>
      </c>
    </row>
    <row r="471" spans="13:17" x14ac:dyDescent="0.25">
      <c r="M471">
        <v>2012</v>
      </c>
      <c r="N471" t="s">
        <v>2</v>
      </c>
      <c r="O471" t="s">
        <v>58</v>
      </c>
      <c r="P471" t="s">
        <v>36</v>
      </c>
      <c r="Q471">
        <v>1580.153</v>
      </c>
    </row>
    <row r="472" spans="13:17" x14ac:dyDescent="0.25">
      <c r="M472">
        <v>2013</v>
      </c>
      <c r="N472" t="s">
        <v>2</v>
      </c>
      <c r="O472" t="s">
        <v>58</v>
      </c>
      <c r="P472" t="s">
        <v>36</v>
      </c>
      <c r="Q472">
        <v>1605.412</v>
      </c>
    </row>
    <row r="473" spans="13:17" x14ac:dyDescent="0.25">
      <c r="M473">
        <v>2014</v>
      </c>
      <c r="N473" t="s">
        <v>2</v>
      </c>
      <c r="O473" t="s">
        <v>58</v>
      </c>
      <c r="P473" t="s">
        <v>36</v>
      </c>
      <c r="Q473">
        <v>2019.123</v>
      </c>
    </row>
    <row r="474" spans="13:17" x14ac:dyDescent="0.25">
      <c r="M474">
        <v>2015</v>
      </c>
      <c r="N474" t="s">
        <v>2</v>
      </c>
      <c r="O474" t="s">
        <v>58</v>
      </c>
      <c r="P474" t="s">
        <v>36</v>
      </c>
      <c r="Q474">
        <v>2281.962</v>
      </c>
    </row>
    <row r="475" spans="13:17" x14ac:dyDescent="0.25">
      <c r="M475">
        <v>2016</v>
      </c>
      <c r="N475" t="s">
        <v>2</v>
      </c>
      <c r="O475" t="s">
        <v>58</v>
      </c>
      <c r="P475" t="s">
        <v>36</v>
      </c>
      <c r="Q475">
        <v>1732.3311000000001</v>
      </c>
    </row>
    <row r="476" spans="13:17" x14ac:dyDescent="0.25">
      <c r="M476">
        <v>2017</v>
      </c>
      <c r="N476" t="s">
        <v>2</v>
      </c>
      <c r="O476" t="s">
        <v>58</v>
      </c>
      <c r="P476" t="s">
        <v>36</v>
      </c>
      <c r="Q476">
        <v>1486.735778</v>
      </c>
    </row>
    <row r="477" spans="13:17" x14ac:dyDescent="0.25">
      <c r="M477">
        <v>2018</v>
      </c>
      <c r="N477" t="s">
        <v>2</v>
      </c>
      <c r="O477" t="s">
        <v>58</v>
      </c>
      <c r="P477" t="s">
        <v>36</v>
      </c>
      <c r="Q477">
        <v>1386.3072</v>
      </c>
    </row>
    <row r="478" spans="13:17" x14ac:dyDescent="0.25">
      <c r="M478">
        <v>2019</v>
      </c>
      <c r="N478" t="s">
        <v>2</v>
      </c>
      <c r="O478" t="s">
        <v>58</v>
      </c>
      <c r="P478" t="s">
        <v>36</v>
      </c>
      <c r="Q478">
        <v>1458.8142499999999</v>
      </c>
    </row>
    <row r="479" spans="13:17" x14ac:dyDescent="0.25">
      <c r="M479">
        <v>2020</v>
      </c>
      <c r="N479" t="s">
        <v>2</v>
      </c>
      <c r="O479" t="s">
        <v>58</v>
      </c>
      <c r="P479" t="s">
        <v>36</v>
      </c>
      <c r="Q479">
        <v>1425.3828000000001</v>
      </c>
    </row>
    <row r="480" spans="13:17" x14ac:dyDescent="0.25">
      <c r="M480">
        <v>2021</v>
      </c>
      <c r="N480" t="s">
        <v>2</v>
      </c>
      <c r="O480" t="s">
        <v>58</v>
      </c>
      <c r="P480" t="s">
        <v>36</v>
      </c>
      <c r="Q480">
        <v>1369.4947</v>
      </c>
    </row>
    <row r="481" spans="13:17" x14ac:dyDescent="0.25">
      <c r="M481">
        <v>2022</v>
      </c>
      <c r="N481" t="s">
        <v>2</v>
      </c>
      <c r="O481" t="s">
        <v>58</v>
      </c>
      <c r="P481" t="s">
        <v>36</v>
      </c>
      <c r="Q481">
        <v>1451.782095</v>
      </c>
    </row>
    <row r="482" spans="13:17" x14ac:dyDescent="0.25">
      <c r="M482">
        <v>2023</v>
      </c>
      <c r="N482" t="s">
        <v>2</v>
      </c>
      <c r="O482" t="s">
        <v>58</v>
      </c>
      <c r="P482" t="s">
        <v>36</v>
      </c>
      <c r="Q482">
        <v>1335.203</v>
      </c>
    </row>
    <row r="483" spans="13:17" x14ac:dyDescent="0.25">
      <c r="M483">
        <v>2024</v>
      </c>
      <c r="N483" t="s">
        <v>2</v>
      </c>
      <c r="O483" t="s">
        <v>58</v>
      </c>
      <c r="P483" t="s">
        <v>36</v>
      </c>
      <c r="Q483">
        <v>1472.819</v>
      </c>
    </row>
    <row r="484" spans="13:17" x14ac:dyDescent="0.25">
      <c r="M484">
        <v>2002</v>
      </c>
      <c r="N484" t="s">
        <v>8</v>
      </c>
      <c r="O484" t="s">
        <v>58</v>
      </c>
      <c r="P484" t="s">
        <v>36</v>
      </c>
      <c r="Q484">
        <v>70</v>
      </c>
    </row>
    <row r="485" spans="13:17" x14ac:dyDescent="0.25">
      <c r="M485">
        <v>2003</v>
      </c>
      <c r="N485" t="s">
        <v>8</v>
      </c>
      <c r="O485" t="s">
        <v>58</v>
      </c>
      <c r="P485" t="s">
        <v>36</v>
      </c>
      <c r="Q485">
        <v>76</v>
      </c>
    </row>
    <row r="486" spans="13:17" x14ac:dyDescent="0.25">
      <c r="M486">
        <v>2004</v>
      </c>
      <c r="N486" t="s">
        <v>8</v>
      </c>
      <c r="O486" t="s">
        <v>58</v>
      </c>
      <c r="P486" t="s">
        <v>36</v>
      </c>
      <c r="Q486">
        <v>69</v>
      </c>
    </row>
    <row r="487" spans="13:17" x14ac:dyDescent="0.25">
      <c r="M487">
        <v>2005</v>
      </c>
      <c r="N487" t="s">
        <v>8</v>
      </c>
      <c r="O487" t="s">
        <v>58</v>
      </c>
      <c r="P487" t="s">
        <v>36</v>
      </c>
      <c r="Q487">
        <v>84</v>
      </c>
    </row>
    <row r="488" spans="13:17" x14ac:dyDescent="0.25">
      <c r="M488">
        <v>2006</v>
      </c>
      <c r="N488" t="s">
        <v>8</v>
      </c>
      <c r="O488" t="s">
        <v>58</v>
      </c>
      <c r="P488" t="s">
        <v>36</v>
      </c>
      <c r="Q488">
        <v>73</v>
      </c>
    </row>
    <row r="489" spans="13:17" x14ac:dyDescent="0.25">
      <c r="M489">
        <v>2007</v>
      </c>
      <c r="N489" t="s">
        <v>8</v>
      </c>
      <c r="O489" t="s">
        <v>58</v>
      </c>
      <c r="P489" t="s">
        <v>36</v>
      </c>
      <c r="Q489">
        <v>71</v>
      </c>
    </row>
    <row r="490" spans="13:17" x14ac:dyDescent="0.25">
      <c r="M490">
        <v>2008</v>
      </c>
      <c r="N490" t="s">
        <v>8</v>
      </c>
      <c r="O490" t="s">
        <v>58</v>
      </c>
      <c r="P490" t="s">
        <v>36</v>
      </c>
      <c r="Q490">
        <v>386</v>
      </c>
    </row>
    <row r="491" spans="13:17" x14ac:dyDescent="0.25">
      <c r="M491">
        <v>2009</v>
      </c>
      <c r="N491" t="s">
        <v>8</v>
      </c>
      <c r="O491" t="s">
        <v>58</v>
      </c>
      <c r="P491" t="s">
        <v>36</v>
      </c>
      <c r="Q491">
        <v>301</v>
      </c>
    </row>
    <row r="492" spans="13:17" x14ac:dyDescent="0.25">
      <c r="M492">
        <v>2010</v>
      </c>
      <c r="N492" t="s">
        <v>8</v>
      </c>
      <c r="O492" t="s">
        <v>58</v>
      </c>
      <c r="P492" t="s">
        <v>36</v>
      </c>
      <c r="Q492">
        <v>334</v>
      </c>
    </row>
    <row r="493" spans="13:17" x14ac:dyDescent="0.25">
      <c r="M493">
        <v>2011</v>
      </c>
      <c r="N493" t="s">
        <v>8</v>
      </c>
      <c r="O493" t="s">
        <v>58</v>
      </c>
      <c r="P493" t="s">
        <v>36</v>
      </c>
      <c r="Q493">
        <v>189.6</v>
      </c>
    </row>
    <row r="494" spans="13:17" x14ac:dyDescent="0.25">
      <c r="M494">
        <v>2012</v>
      </c>
      <c r="N494" t="s">
        <v>8</v>
      </c>
      <c r="O494" t="s">
        <v>58</v>
      </c>
      <c r="P494" t="s">
        <v>36</v>
      </c>
      <c r="Q494">
        <v>66.498000000000005</v>
      </c>
    </row>
    <row r="495" spans="13:17" x14ac:dyDescent="0.25">
      <c r="M495">
        <v>2013</v>
      </c>
      <c r="N495" t="s">
        <v>8</v>
      </c>
      <c r="O495" t="s">
        <v>58</v>
      </c>
      <c r="P495" t="s">
        <v>36</v>
      </c>
      <c r="Q495">
        <v>96.8</v>
      </c>
    </row>
    <row r="496" spans="13:17" x14ac:dyDescent="0.25">
      <c r="M496">
        <v>2014</v>
      </c>
      <c r="N496" t="s">
        <v>8</v>
      </c>
      <c r="O496" t="s">
        <v>58</v>
      </c>
      <c r="P496" t="s">
        <v>36</v>
      </c>
      <c r="Q496">
        <v>55.7</v>
      </c>
    </row>
    <row r="497" spans="13:17" x14ac:dyDescent="0.25">
      <c r="M497">
        <v>2015</v>
      </c>
      <c r="N497" t="s">
        <v>8</v>
      </c>
      <c r="O497" t="s">
        <v>58</v>
      </c>
      <c r="P497" t="s">
        <v>36</v>
      </c>
      <c r="Q497">
        <v>34.9</v>
      </c>
    </row>
    <row r="498" spans="13:17" x14ac:dyDescent="0.25">
      <c r="M498">
        <v>2016</v>
      </c>
      <c r="N498" t="s">
        <v>8</v>
      </c>
      <c r="O498" t="s">
        <v>58</v>
      </c>
      <c r="P498" t="s">
        <v>36</v>
      </c>
      <c r="Q498">
        <v>69.87</v>
      </c>
    </row>
    <row r="499" spans="13:17" x14ac:dyDescent="0.25">
      <c r="M499">
        <v>2017</v>
      </c>
      <c r="N499" t="s">
        <v>8</v>
      </c>
      <c r="O499" t="s">
        <v>58</v>
      </c>
      <c r="P499" t="s">
        <v>36</v>
      </c>
      <c r="Q499">
        <v>405.01</v>
      </c>
    </row>
    <row r="500" spans="13:17" x14ac:dyDescent="0.25">
      <c r="M500">
        <v>2018</v>
      </c>
      <c r="N500" t="s">
        <v>8</v>
      </c>
      <c r="O500" t="s">
        <v>58</v>
      </c>
      <c r="P500" t="s">
        <v>36</v>
      </c>
      <c r="Q500">
        <v>396.50200000000001</v>
      </c>
    </row>
    <row r="501" spans="13:17" x14ac:dyDescent="0.25">
      <c r="M501">
        <v>2019</v>
      </c>
      <c r="N501" t="s">
        <v>8</v>
      </c>
      <c r="O501" t="s">
        <v>58</v>
      </c>
      <c r="P501" t="s">
        <v>36</v>
      </c>
      <c r="Q501">
        <v>386.14</v>
      </c>
    </row>
    <row r="502" spans="13:17" x14ac:dyDescent="0.25">
      <c r="M502">
        <v>2020</v>
      </c>
      <c r="N502" t="s">
        <v>8</v>
      </c>
      <c r="O502" t="s">
        <v>58</v>
      </c>
      <c r="P502" t="s">
        <v>36</v>
      </c>
      <c r="Q502">
        <v>375.96</v>
      </c>
    </row>
    <row r="503" spans="13:17" x14ac:dyDescent="0.25">
      <c r="M503">
        <v>2021</v>
      </c>
      <c r="N503" t="s">
        <v>8</v>
      </c>
      <c r="O503" t="s">
        <v>58</v>
      </c>
      <c r="P503" t="s">
        <v>36</v>
      </c>
      <c r="Q503">
        <v>356.83</v>
      </c>
    </row>
    <row r="504" spans="13:17" x14ac:dyDescent="0.25">
      <c r="M504">
        <v>2022</v>
      </c>
      <c r="N504" t="s">
        <v>8</v>
      </c>
      <c r="O504" t="s">
        <v>58</v>
      </c>
      <c r="P504" t="s">
        <v>36</v>
      </c>
      <c r="Q504">
        <v>305.8</v>
      </c>
    </row>
    <row r="505" spans="13:17" x14ac:dyDescent="0.25">
      <c r="M505">
        <v>2023</v>
      </c>
      <c r="N505" t="s">
        <v>8</v>
      </c>
      <c r="O505" t="s">
        <v>58</v>
      </c>
      <c r="P505" t="s">
        <v>36</v>
      </c>
      <c r="Q505">
        <v>343.7</v>
      </c>
    </row>
    <row r="506" spans="13:17" x14ac:dyDescent="0.25">
      <c r="M506">
        <v>2024</v>
      </c>
      <c r="N506" t="s">
        <v>8</v>
      </c>
      <c r="O506" t="s">
        <v>58</v>
      </c>
      <c r="P506" t="s">
        <v>36</v>
      </c>
      <c r="Q506">
        <v>344.5</v>
      </c>
    </row>
    <row r="507" spans="13:17" x14ac:dyDescent="0.25">
      <c r="M507">
        <v>1970</v>
      </c>
      <c r="N507" t="s">
        <v>6</v>
      </c>
      <c r="O507" t="s">
        <v>58</v>
      </c>
      <c r="P507" t="s">
        <v>36</v>
      </c>
      <c r="Q507">
        <v>0</v>
      </c>
    </row>
    <row r="508" spans="13:17" x14ac:dyDescent="0.25">
      <c r="M508">
        <v>1971</v>
      </c>
      <c r="N508" t="s">
        <v>6</v>
      </c>
      <c r="O508" t="s">
        <v>58</v>
      </c>
      <c r="P508" t="s">
        <v>36</v>
      </c>
      <c r="Q508">
        <v>0</v>
      </c>
    </row>
    <row r="509" spans="13:17" x14ac:dyDescent="0.25">
      <c r="M509">
        <v>1972</v>
      </c>
      <c r="N509" t="s">
        <v>6</v>
      </c>
      <c r="O509" t="s">
        <v>58</v>
      </c>
      <c r="P509" t="s">
        <v>36</v>
      </c>
      <c r="Q509">
        <v>0</v>
      </c>
    </row>
    <row r="510" spans="13:17" x14ac:dyDescent="0.25">
      <c r="M510">
        <v>1973</v>
      </c>
      <c r="N510" t="s">
        <v>6</v>
      </c>
      <c r="O510" t="s">
        <v>58</v>
      </c>
      <c r="P510" t="s">
        <v>36</v>
      </c>
      <c r="Q510">
        <v>100</v>
      </c>
    </row>
    <row r="511" spans="13:17" x14ac:dyDescent="0.25">
      <c r="M511">
        <v>1974</v>
      </c>
      <c r="N511" t="s">
        <v>6</v>
      </c>
      <c r="O511" t="s">
        <v>58</v>
      </c>
      <c r="P511" t="s">
        <v>36</v>
      </c>
      <c r="Q511">
        <v>196</v>
      </c>
    </row>
    <row r="512" spans="13:17" x14ac:dyDescent="0.25">
      <c r="M512">
        <v>1975</v>
      </c>
      <c r="N512" t="s">
        <v>6</v>
      </c>
      <c r="O512" t="s">
        <v>58</v>
      </c>
      <c r="P512" t="s">
        <v>36</v>
      </c>
      <c r="Q512">
        <v>500</v>
      </c>
    </row>
    <row r="513" spans="13:17" x14ac:dyDescent="0.25">
      <c r="M513">
        <v>1976</v>
      </c>
      <c r="N513" t="s">
        <v>6</v>
      </c>
      <c r="O513" t="s">
        <v>58</v>
      </c>
      <c r="P513" t="s">
        <v>36</v>
      </c>
      <c r="Q513">
        <v>368</v>
      </c>
    </row>
    <row r="514" spans="13:17" x14ac:dyDescent="0.25">
      <c r="M514">
        <v>1977</v>
      </c>
      <c r="N514" t="s">
        <v>6</v>
      </c>
      <c r="O514" t="s">
        <v>58</v>
      </c>
      <c r="P514" t="s">
        <v>36</v>
      </c>
      <c r="Q514">
        <v>370</v>
      </c>
    </row>
    <row r="515" spans="13:17" x14ac:dyDescent="0.25">
      <c r="M515">
        <v>1978</v>
      </c>
      <c r="N515" t="s">
        <v>6</v>
      </c>
      <c r="O515" t="s">
        <v>58</v>
      </c>
      <c r="P515" t="s">
        <v>36</v>
      </c>
      <c r="Q515">
        <v>320</v>
      </c>
    </row>
    <row r="516" spans="13:17" x14ac:dyDescent="0.25">
      <c r="M516">
        <v>1979</v>
      </c>
      <c r="N516" t="s">
        <v>6</v>
      </c>
      <c r="O516" t="s">
        <v>58</v>
      </c>
      <c r="P516" t="s">
        <v>36</v>
      </c>
      <c r="Q516">
        <v>521</v>
      </c>
    </row>
    <row r="517" spans="13:17" x14ac:dyDescent="0.25">
      <c r="M517">
        <v>1980</v>
      </c>
      <c r="N517" t="s">
        <v>6</v>
      </c>
      <c r="O517" t="s">
        <v>58</v>
      </c>
      <c r="P517" t="s">
        <v>36</v>
      </c>
      <c r="Q517">
        <v>650</v>
      </c>
    </row>
    <row r="518" spans="13:17" x14ac:dyDescent="0.25">
      <c r="M518">
        <v>1981</v>
      </c>
      <c r="N518" t="s">
        <v>6</v>
      </c>
      <c r="O518" t="s">
        <v>58</v>
      </c>
      <c r="P518" t="s">
        <v>36</v>
      </c>
      <c r="Q518">
        <v>760</v>
      </c>
    </row>
    <row r="519" spans="13:17" x14ac:dyDescent="0.25">
      <c r="M519">
        <v>1982</v>
      </c>
      <c r="N519" t="s">
        <v>6</v>
      </c>
      <c r="O519" t="s">
        <v>58</v>
      </c>
      <c r="P519" t="s">
        <v>36</v>
      </c>
      <c r="Q519">
        <v>870</v>
      </c>
    </row>
    <row r="520" spans="13:17" x14ac:dyDescent="0.25">
      <c r="M520">
        <v>1983</v>
      </c>
      <c r="N520" t="s">
        <v>6</v>
      </c>
      <c r="O520" t="s">
        <v>58</v>
      </c>
      <c r="P520" t="s">
        <v>36</v>
      </c>
      <c r="Q520">
        <v>877</v>
      </c>
    </row>
    <row r="521" spans="13:17" x14ac:dyDescent="0.25">
      <c r="M521">
        <v>1984</v>
      </c>
      <c r="N521" t="s">
        <v>6</v>
      </c>
      <c r="O521" t="s">
        <v>58</v>
      </c>
      <c r="P521" t="s">
        <v>36</v>
      </c>
      <c r="Q521">
        <v>884</v>
      </c>
    </row>
    <row r="522" spans="13:17" x14ac:dyDescent="0.25">
      <c r="M522">
        <v>1985</v>
      </c>
      <c r="N522" t="s">
        <v>6</v>
      </c>
      <c r="O522" t="s">
        <v>58</v>
      </c>
      <c r="P522" t="s">
        <v>36</v>
      </c>
      <c r="Q522">
        <v>890</v>
      </c>
    </row>
    <row r="523" spans="13:17" x14ac:dyDescent="0.25">
      <c r="M523">
        <v>1986</v>
      </c>
      <c r="N523" t="s">
        <v>6</v>
      </c>
      <c r="O523" t="s">
        <v>58</v>
      </c>
      <c r="P523" t="s">
        <v>36</v>
      </c>
      <c r="Q523">
        <v>847</v>
      </c>
    </row>
    <row r="524" spans="13:17" x14ac:dyDescent="0.25">
      <c r="M524">
        <v>1987</v>
      </c>
      <c r="N524" t="s">
        <v>6</v>
      </c>
      <c r="O524" t="s">
        <v>58</v>
      </c>
      <c r="P524" t="s">
        <v>36</v>
      </c>
      <c r="Q524">
        <v>1820</v>
      </c>
    </row>
    <row r="525" spans="13:17" x14ac:dyDescent="0.25">
      <c r="M525">
        <v>1988</v>
      </c>
      <c r="N525" t="s">
        <v>6</v>
      </c>
      <c r="O525" t="s">
        <v>58</v>
      </c>
      <c r="P525" t="s">
        <v>36</v>
      </c>
      <c r="Q525">
        <v>2621</v>
      </c>
    </row>
    <row r="526" spans="13:17" x14ac:dyDescent="0.25">
      <c r="M526">
        <v>1989</v>
      </c>
      <c r="N526" t="s">
        <v>6</v>
      </c>
      <c r="O526" t="s">
        <v>58</v>
      </c>
      <c r="P526" t="s">
        <v>36</v>
      </c>
      <c r="Q526">
        <v>590</v>
      </c>
    </row>
    <row r="527" spans="13:17" x14ac:dyDescent="0.25">
      <c r="M527">
        <v>1990</v>
      </c>
      <c r="N527" t="s">
        <v>6</v>
      </c>
      <c r="O527" t="s">
        <v>58</v>
      </c>
      <c r="P527" t="s">
        <v>36</v>
      </c>
      <c r="Q527">
        <v>173</v>
      </c>
    </row>
    <row r="528" spans="13:17" x14ac:dyDescent="0.25">
      <c r="M528">
        <v>1991</v>
      </c>
      <c r="N528" t="s">
        <v>6</v>
      </c>
      <c r="O528" t="s">
        <v>58</v>
      </c>
      <c r="P528" t="s">
        <v>36</v>
      </c>
      <c r="Q528">
        <v>173</v>
      </c>
    </row>
    <row r="529" spans="13:17" x14ac:dyDescent="0.25">
      <c r="M529">
        <v>1992</v>
      </c>
      <c r="N529" t="s">
        <v>6</v>
      </c>
      <c r="O529" t="s">
        <v>58</v>
      </c>
      <c r="P529" t="s">
        <v>36</v>
      </c>
      <c r="Q529">
        <v>6</v>
      </c>
    </row>
    <row r="530" spans="13:17" x14ac:dyDescent="0.25">
      <c r="M530">
        <v>1993</v>
      </c>
      <c r="N530" t="s">
        <v>6</v>
      </c>
      <c r="O530" t="s">
        <v>58</v>
      </c>
      <c r="P530" t="s">
        <v>36</v>
      </c>
      <c r="Q530">
        <v>173</v>
      </c>
    </row>
    <row r="531" spans="13:17" x14ac:dyDescent="0.25">
      <c r="M531">
        <v>1994</v>
      </c>
      <c r="N531" t="s">
        <v>6</v>
      </c>
      <c r="O531" t="s">
        <v>58</v>
      </c>
      <c r="P531" t="s">
        <v>36</v>
      </c>
      <c r="Q531">
        <v>185</v>
      </c>
    </row>
    <row r="532" spans="13:17" x14ac:dyDescent="0.25">
      <c r="M532">
        <v>1995</v>
      </c>
      <c r="N532" t="s">
        <v>6</v>
      </c>
      <c r="O532" t="s">
        <v>58</v>
      </c>
      <c r="P532" t="s">
        <v>36</v>
      </c>
      <c r="Q532">
        <v>247</v>
      </c>
    </row>
    <row r="533" spans="13:17" x14ac:dyDescent="0.25">
      <c r="M533">
        <v>1996</v>
      </c>
      <c r="N533" t="s">
        <v>6</v>
      </c>
      <c r="O533" t="s">
        <v>58</v>
      </c>
      <c r="P533" t="s">
        <v>36</v>
      </c>
      <c r="Q533">
        <v>247</v>
      </c>
    </row>
    <row r="534" spans="13:17" x14ac:dyDescent="0.25">
      <c r="M534">
        <v>1997</v>
      </c>
      <c r="N534" t="s">
        <v>6</v>
      </c>
      <c r="O534" t="s">
        <v>58</v>
      </c>
      <c r="P534" t="s">
        <v>36</v>
      </c>
      <c r="Q534">
        <v>247</v>
      </c>
    </row>
    <row r="535" spans="13:17" x14ac:dyDescent="0.25">
      <c r="M535">
        <v>1998</v>
      </c>
      <c r="N535" t="s">
        <v>6</v>
      </c>
      <c r="O535" t="s">
        <v>58</v>
      </c>
      <c r="P535" t="s">
        <v>36</v>
      </c>
      <c r="Q535">
        <v>178</v>
      </c>
    </row>
    <row r="536" spans="13:17" x14ac:dyDescent="0.25">
      <c r="M536">
        <v>1999</v>
      </c>
      <c r="N536" t="s">
        <v>6</v>
      </c>
      <c r="O536" t="s">
        <v>58</v>
      </c>
      <c r="P536" t="s">
        <v>36</v>
      </c>
      <c r="Q536">
        <v>126</v>
      </c>
    </row>
    <row r="537" spans="13:17" x14ac:dyDescent="0.25">
      <c r="M537">
        <v>2000</v>
      </c>
      <c r="N537" t="s">
        <v>6</v>
      </c>
      <c r="O537" t="s">
        <v>58</v>
      </c>
      <c r="P537" t="s">
        <v>36</v>
      </c>
      <c r="Q537">
        <v>166</v>
      </c>
    </row>
    <row r="538" spans="13:17" x14ac:dyDescent="0.25">
      <c r="M538">
        <v>2001</v>
      </c>
      <c r="N538" t="s">
        <v>6</v>
      </c>
      <c r="O538" t="s">
        <v>58</v>
      </c>
      <c r="P538" t="s">
        <v>36</v>
      </c>
      <c r="Q538">
        <v>439</v>
      </c>
    </row>
    <row r="539" spans="13:17" x14ac:dyDescent="0.25">
      <c r="M539">
        <v>2002</v>
      </c>
      <c r="N539" t="s">
        <v>6</v>
      </c>
      <c r="O539" t="s">
        <v>58</v>
      </c>
      <c r="P539" t="s">
        <v>36</v>
      </c>
      <c r="Q539">
        <v>347</v>
      </c>
    </row>
    <row r="540" spans="13:17" x14ac:dyDescent="0.25">
      <c r="M540">
        <v>2003</v>
      </c>
      <c r="N540" t="s">
        <v>6</v>
      </c>
      <c r="O540" t="s">
        <v>58</v>
      </c>
      <c r="P540" t="s">
        <v>36</v>
      </c>
      <c r="Q540">
        <v>238</v>
      </c>
    </row>
    <row r="541" spans="13:17" x14ac:dyDescent="0.25">
      <c r="M541">
        <v>2004</v>
      </c>
      <c r="N541" t="s">
        <v>6</v>
      </c>
      <c r="O541" t="s">
        <v>58</v>
      </c>
      <c r="P541" t="s">
        <v>36</v>
      </c>
      <c r="Q541">
        <v>174</v>
      </c>
    </row>
    <row r="542" spans="13:17" x14ac:dyDescent="0.25">
      <c r="M542">
        <v>2005</v>
      </c>
      <c r="N542" t="s">
        <v>6</v>
      </c>
      <c r="O542" t="s">
        <v>58</v>
      </c>
      <c r="P542" t="s">
        <v>36</v>
      </c>
      <c r="Q542">
        <v>93</v>
      </c>
    </row>
    <row r="543" spans="13:17" x14ac:dyDescent="0.25">
      <c r="M543">
        <v>2006</v>
      </c>
      <c r="N543" t="s">
        <v>6</v>
      </c>
      <c r="O543" t="s">
        <v>58</v>
      </c>
      <c r="P543" t="s">
        <v>36</v>
      </c>
      <c r="Q543">
        <v>496</v>
      </c>
    </row>
    <row r="544" spans="13:17" x14ac:dyDescent="0.25">
      <c r="M544">
        <v>2007</v>
      </c>
      <c r="N544" t="s">
        <v>6</v>
      </c>
      <c r="O544" t="s">
        <v>58</v>
      </c>
      <c r="P544" t="s">
        <v>36</v>
      </c>
      <c r="Q544">
        <v>492</v>
      </c>
    </row>
    <row r="545" spans="13:17" x14ac:dyDescent="0.25">
      <c r="M545">
        <v>2008</v>
      </c>
      <c r="N545" t="s">
        <v>6</v>
      </c>
      <c r="O545" t="s">
        <v>58</v>
      </c>
      <c r="P545" t="s">
        <v>36</v>
      </c>
      <c r="Q545">
        <v>802</v>
      </c>
    </row>
    <row r="546" spans="13:17" x14ac:dyDescent="0.25">
      <c r="M546">
        <v>2009</v>
      </c>
      <c r="N546" t="s">
        <v>6</v>
      </c>
      <c r="O546" t="s">
        <v>58</v>
      </c>
      <c r="P546" t="s">
        <v>36</v>
      </c>
      <c r="Q546">
        <v>468</v>
      </c>
    </row>
    <row r="547" spans="13:17" x14ac:dyDescent="0.25">
      <c r="M547">
        <v>2010</v>
      </c>
      <c r="N547" t="s">
        <v>6</v>
      </c>
      <c r="O547" t="s">
        <v>58</v>
      </c>
      <c r="P547" t="s">
        <v>36</v>
      </c>
      <c r="Q547">
        <v>459.43799999999999</v>
      </c>
    </row>
    <row r="548" spans="13:17" x14ac:dyDescent="0.25">
      <c r="M548">
        <v>2011</v>
      </c>
      <c r="N548" t="s">
        <v>6</v>
      </c>
      <c r="O548" t="s">
        <v>58</v>
      </c>
      <c r="P548" t="s">
        <v>36</v>
      </c>
      <c r="Q548">
        <v>192.28</v>
      </c>
    </row>
    <row r="549" spans="13:17" x14ac:dyDescent="0.25">
      <c r="M549">
        <v>2012</v>
      </c>
      <c r="N549" t="s">
        <v>6</v>
      </c>
      <c r="O549" t="s">
        <v>58</v>
      </c>
      <c r="P549" t="s">
        <v>36</v>
      </c>
      <c r="Q549">
        <v>355.52300000000002</v>
      </c>
    </row>
    <row r="550" spans="13:17" x14ac:dyDescent="0.25">
      <c r="M550">
        <v>2013</v>
      </c>
      <c r="N550" t="s">
        <v>6</v>
      </c>
      <c r="O550" t="s">
        <v>58</v>
      </c>
      <c r="P550" t="s">
        <v>36</v>
      </c>
      <c r="Q550">
        <v>383.5</v>
      </c>
    </row>
    <row r="551" spans="13:17" x14ac:dyDescent="0.25">
      <c r="M551">
        <v>2014</v>
      </c>
      <c r="N551" t="s">
        <v>6</v>
      </c>
      <c r="O551" t="s">
        <v>58</v>
      </c>
      <c r="P551" t="s">
        <v>36</v>
      </c>
      <c r="Q551">
        <v>548.66</v>
      </c>
    </row>
    <row r="552" spans="13:17" x14ac:dyDescent="0.25">
      <c r="M552">
        <v>2015</v>
      </c>
      <c r="N552" t="s">
        <v>6</v>
      </c>
      <c r="O552" t="s">
        <v>58</v>
      </c>
      <c r="P552" t="s">
        <v>36</v>
      </c>
      <c r="Q552">
        <v>557.93899999999996</v>
      </c>
    </row>
    <row r="553" spans="13:17" x14ac:dyDescent="0.25">
      <c r="M553">
        <v>2016</v>
      </c>
      <c r="N553" t="s">
        <v>6</v>
      </c>
      <c r="O553" t="s">
        <v>58</v>
      </c>
      <c r="P553" t="s">
        <v>36</v>
      </c>
      <c r="Q553">
        <v>665.79399999999998</v>
      </c>
    </row>
    <row r="554" spans="13:17" x14ac:dyDescent="0.25">
      <c r="M554">
        <v>2017</v>
      </c>
      <c r="N554" t="s">
        <v>6</v>
      </c>
      <c r="O554" t="s">
        <v>58</v>
      </c>
      <c r="P554" t="s">
        <v>36</v>
      </c>
      <c r="Q554">
        <v>550</v>
      </c>
    </row>
    <row r="555" spans="13:17" x14ac:dyDescent="0.25">
      <c r="M555">
        <v>2018</v>
      </c>
      <c r="N555" t="s">
        <v>6</v>
      </c>
      <c r="O555" t="s">
        <v>58</v>
      </c>
      <c r="P555" t="s">
        <v>36</v>
      </c>
      <c r="Q555">
        <v>528</v>
      </c>
    </row>
    <row r="556" spans="13:17" x14ac:dyDescent="0.25">
      <c r="M556">
        <v>2019</v>
      </c>
      <c r="N556" t="s">
        <v>6</v>
      </c>
      <c r="O556" t="s">
        <v>58</v>
      </c>
      <c r="P556" t="s">
        <v>36</v>
      </c>
      <c r="Q556">
        <v>517.49</v>
      </c>
    </row>
    <row r="557" spans="13:17" x14ac:dyDescent="0.25">
      <c r="M557">
        <v>2020</v>
      </c>
      <c r="N557" t="s">
        <v>6</v>
      </c>
      <c r="O557" t="s">
        <v>58</v>
      </c>
      <c r="P557" t="s">
        <v>36</v>
      </c>
      <c r="Q557">
        <v>500.95</v>
      </c>
    </row>
    <row r="558" spans="13:17" x14ac:dyDescent="0.25">
      <c r="M558">
        <v>2021</v>
      </c>
      <c r="N558" t="s">
        <v>6</v>
      </c>
      <c r="O558" t="s">
        <v>58</v>
      </c>
      <c r="P558" t="s">
        <v>36</v>
      </c>
      <c r="Q558">
        <v>445.75</v>
      </c>
    </row>
    <row r="559" spans="13:17" x14ac:dyDescent="0.25">
      <c r="M559">
        <v>2022</v>
      </c>
      <c r="N559" t="s">
        <v>6</v>
      </c>
      <c r="O559" t="s">
        <v>58</v>
      </c>
      <c r="P559" t="s">
        <v>36</v>
      </c>
      <c r="Q559">
        <v>471.78300000000002</v>
      </c>
    </row>
    <row r="560" spans="13:17" x14ac:dyDescent="0.25">
      <c r="M560">
        <v>2023</v>
      </c>
      <c r="N560" t="s">
        <v>6</v>
      </c>
      <c r="O560" t="s">
        <v>58</v>
      </c>
      <c r="P560" t="s">
        <v>36</v>
      </c>
      <c r="Q560">
        <v>471.75</v>
      </c>
    </row>
    <row r="561" spans="13:17" x14ac:dyDescent="0.25">
      <c r="M561">
        <v>2024</v>
      </c>
      <c r="N561" t="s">
        <v>6</v>
      </c>
      <c r="O561" t="s">
        <v>58</v>
      </c>
      <c r="P561" t="s">
        <v>36</v>
      </c>
      <c r="Q561">
        <v>472.3</v>
      </c>
    </row>
    <row r="562" spans="13:17" x14ac:dyDescent="0.25">
      <c r="M562">
        <v>1993</v>
      </c>
      <c r="N562" t="s">
        <v>38</v>
      </c>
      <c r="O562" t="s">
        <v>58</v>
      </c>
      <c r="P562" t="s">
        <v>36</v>
      </c>
      <c r="Q562">
        <v>1</v>
      </c>
    </row>
    <row r="563" spans="13:17" x14ac:dyDescent="0.25">
      <c r="M563">
        <v>1994</v>
      </c>
      <c r="N563" t="s">
        <v>38</v>
      </c>
      <c r="O563" t="s">
        <v>58</v>
      </c>
      <c r="P563" t="s">
        <v>36</v>
      </c>
      <c r="Q563">
        <v>1</v>
      </c>
    </row>
    <row r="564" spans="13:17" x14ac:dyDescent="0.25">
      <c r="M564">
        <v>1995</v>
      </c>
      <c r="N564" t="s">
        <v>38</v>
      </c>
      <c r="O564" t="s">
        <v>58</v>
      </c>
      <c r="P564" t="s">
        <v>36</v>
      </c>
      <c r="Q564">
        <v>0.66700000000000004</v>
      </c>
    </row>
    <row r="565" spans="13:17" x14ac:dyDescent="0.25">
      <c r="M565">
        <v>1996</v>
      </c>
      <c r="N565" t="s">
        <v>38</v>
      </c>
      <c r="O565" t="s">
        <v>58</v>
      </c>
      <c r="P565" t="s">
        <v>36</v>
      </c>
      <c r="Q565">
        <v>1</v>
      </c>
    </row>
    <row r="566" spans="13:17" x14ac:dyDescent="0.25">
      <c r="M566">
        <v>1997</v>
      </c>
      <c r="N566" t="s">
        <v>38</v>
      </c>
      <c r="O566" t="s">
        <v>58</v>
      </c>
      <c r="P566" t="s">
        <v>36</v>
      </c>
      <c r="Q566">
        <v>3</v>
      </c>
    </row>
    <row r="567" spans="13:17" x14ac:dyDescent="0.25">
      <c r="M567">
        <v>2008</v>
      </c>
      <c r="N567" t="s">
        <v>38</v>
      </c>
      <c r="O567" t="s">
        <v>58</v>
      </c>
      <c r="P567" t="s">
        <v>36</v>
      </c>
      <c r="Q567">
        <v>0</v>
      </c>
    </row>
    <row r="568" spans="13:17" x14ac:dyDescent="0.25">
      <c r="M568">
        <v>2009</v>
      </c>
      <c r="N568" t="s">
        <v>38</v>
      </c>
      <c r="O568" t="s">
        <v>58</v>
      </c>
      <c r="P568" t="s">
        <v>36</v>
      </c>
      <c r="Q568">
        <v>0</v>
      </c>
    </row>
    <row r="569" spans="13:17" x14ac:dyDescent="0.25">
      <c r="M569">
        <v>2010</v>
      </c>
      <c r="N569" t="s">
        <v>38</v>
      </c>
      <c r="O569" t="s">
        <v>58</v>
      </c>
      <c r="P569" t="s">
        <v>36</v>
      </c>
      <c r="Q569">
        <v>0</v>
      </c>
    </row>
    <row r="570" spans="13:17" x14ac:dyDescent="0.25">
      <c r="M570">
        <v>2011</v>
      </c>
      <c r="N570" t="s">
        <v>38</v>
      </c>
      <c r="O570" t="s">
        <v>58</v>
      </c>
      <c r="P570" t="s">
        <v>36</v>
      </c>
      <c r="Q570">
        <v>0</v>
      </c>
    </row>
    <row r="571" spans="13:17" x14ac:dyDescent="0.25">
      <c r="M571">
        <v>2012</v>
      </c>
      <c r="N571" t="s">
        <v>38</v>
      </c>
      <c r="O571" t="s">
        <v>58</v>
      </c>
      <c r="P571" t="s">
        <v>36</v>
      </c>
      <c r="Q571">
        <v>0</v>
      </c>
    </row>
    <row r="572" spans="13:17" x14ac:dyDescent="0.25">
      <c r="M572">
        <v>2013</v>
      </c>
      <c r="N572" t="s">
        <v>38</v>
      </c>
      <c r="O572" t="s">
        <v>58</v>
      </c>
      <c r="P572" t="s">
        <v>36</v>
      </c>
      <c r="Q572">
        <v>0</v>
      </c>
    </row>
    <row r="573" spans="13:17" x14ac:dyDescent="0.25">
      <c r="M573">
        <v>2014</v>
      </c>
      <c r="N573" t="s">
        <v>38</v>
      </c>
      <c r="O573" t="s">
        <v>58</v>
      </c>
      <c r="P573" t="s">
        <v>36</v>
      </c>
      <c r="Q573">
        <v>0</v>
      </c>
    </row>
    <row r="574" spans="13:17" x14ac:dyDescent="0.25">
      <c r="M574">
        <v>2016</v>
      </c>
      <c r="N574" t="s">
        <v>38</v>
      </c>
      <c r="O574" t="s">
        <v>58</v>
      </c>
      <c r="P574" t="s">
        <v>36</v>
      </c>
      <c r="Q574">
        <v>0</v>
      </c>
    </row>
    <row r="575" spans="13:17" x14ac:dyDescent="0.25">
      <c r="M575">
        <v>2017</v>
      </c>
      <c r="N575" t="s">
        <v>38</v>
      </c>
      <c r="O575" t="s">
        <v>58</v>
      </c>
      <c r="P575" t="s">
        <v>36</v>
      </c>
      <c r="Q575">
        <v>0</v>
      </c>
    </row>
    <row r="576" spans="13:17" x14ac:dyDescent="0.25">
      <c r="M576">
        <v>2018</v>
      </c>
      <c r="N576" t="s">
        <v>38</v>
      </c>
      <c r="O576" t="s">
        <v>58</v>
      </c>
      <c r="P576" t="s">
        <v>36</v>
      </c>
      <c r="Q576">
        <v>0</v>
      </c>
    </row>
    <row r="577" spans="13:17" x14ac:dyDescent="0.25">
      <c r="M577">
        <v>2019</v>
      </c>
      <c r="N577" t="s">
        <v>38</v>
      </c>
      <c r="O577" t="s">
        <v>58</v>
      </c>
      <c r="P577" t="s">
        <v>36</v>
      </c>
      <c r="Q577">
        <v>0</v>
      </c>
    </row>
    <row r="578" spans="13:17" x14ac:dyDescent="0.25">
      <c r="M578">
        <v>2020</v>
      </c>
      <c r="N578" t="s">
        <v>38</v>
      </c>
      <c r="O578" t="s">
        <v>58</v>
      </c>
      <c r="P578" t="s">
        <v>36</v>
      </c>
      <c r="Q578">
        <v>0</v>
      </c>
    </row>
    <row r="579" spans="13:17" x14ac:dyDescent="0.25">
      <c r="M579">
        <v>2021</v>
      </c>
      <c r="N579" t="s">
        <v>38</v>
      </c>
      <c r="O579" t="s">
        <v>58</v>
      </c>
      <c r="P579" t="s">
        <v>36</v>
      </c>
      <c r="Q579">
        <v>0</v>
      </c>
    </row>
    <row r="580" spans="13:17" x14ac:dyDescent="0.25">
      <c r="M580">
        <v>2022</v>
      </c>
      <c r="N580" t="s">
        <v>38</v>
      </c>
      <c r="O580" t="s">
        <v>58</v>
      </c>
      <c r="P580" t="s">
        <v>36</v>
      </c>
      <c r="Q580">
        <v>0</v>
      </c>
    </row>
    <row r="581" spans="13:17" x14ac:dyDescent="0.25">
      <c r="M581">
        <v>2013</v>
      </c>
      <c r="N581" t="s">
        <v>13</v>
      </c>
      <c r="O581" t="s">
        <v>58</v>
      </c>
      <c r="P581" t="s">
        <v>36</v>
      </c>
      <c r="Q581">
        <v>0.50800000000000001</v>
      </c>
    </row>
    <row r="582" spans="13:17" x14ac:dyDescent="0.25">
      <c r="M582">
        <v>2014</v>
      </c>
      <c r="N582" t="s">
        <v>13</v>
      </c>
      <c r="O582" t="s">
        <v>58</v>
      </c>
      <c r="P582" t="s">
        <v>36</v>
      </c>
      <c r="Q582">
        <v>0.36399999999999999</v>
      </c>
    </row>
    <row r="583" spans="13:17" x14ac:dyDescent="0.25">
      <c r="M583">
        <v>2018</v>
      </c>
      <c r="N583" t="s">
        <v>13</v>
      </c>
      <c r="O583" t="s">
        <v>58</v>
      </c>
      <c r="P583" t="s">
        <v>36</v>
      </c>
      <c r="Q583">
        <v>4</v>
      </c>
    </row>
    <row r="584" spans="13:17" x14ac:dyDescent="0.25">
      <c r="M584">
        <v>2020</v>
      </c>
      <c r="N584" t="s">
        <v>13</v>
      </c>
      <c r="O584" t="s">
        <v>58</v>
      </c>
      <c r="P584" t="s">
        <v>36</v>
      </c>
      <c r="Q584">
        <v>4</v>
      </c>
    </row>
    <row r="585" spans="13:17" x14ac:dyDescent="0.25">
      <c r="M585">
        <v>2021</v>
      </c>
      <c r="N585" t="s">
        <v>13</v>
      </c>
      <c r="O585" t="s">
        <v>58</v>
      </c>
      <c r="P585" t="s">
        <v>36</v>
      </c>
      <c r="Q585">
        <v>7</v>
      </c>
    </row>
    <row r="586" spans="13:17" x14ac:dyDescent="0.25">
      <c r="M586">
        <v>2022</v>
      </c>
      <c r="N586" t="s">
        <v>13</v>
      </c>
      <c r="O586" t="s">
        <v>58</v>
      </c>
      <c r="P586" t="s">
        <v>36</v>
      </c>
      <c r="Q586">
        <v>26</v>
      </c>
    </row>
    <row r="587" spans="13:17" x14ac:dyDescent="0.25">
      <c r="M587">
        <v>2023</v>
      </c>
      <c r="N587" t="s">
        <v>13</v>
      </c>
      <c r="O587" t="s">
        <v>58</v>
      </c>
      <c r="P587" t="s">
        <v>36</v>
      </c>
      <c r="Q587">
        <v>73</v>
      </c>
    </row>
    <row r="588" spans="13:17" x14ac:dyDescent="0.25">
      <c r="M588">
        <v>2024</v>
      </c>
      <c r="N588" t="s">
        <v>13</v>
      </c>
      <c r="O588" t="s">
        <v>58</v>
      </c>
      <c r="P588" t="s">
        <v>36</v>
      </c>
      <c r="Q588">
        <v>100</v>
      </c>
    </row>
    <row r="589" spans="13:17" x14ac:dyDescent="0.25">
      <c r="M589">
        <v>1998</v>
      </c>
      <c r="N589" t="s">
        <v>12</v>
      </c>
      <c r="O589" t="s">
        <v>58</v>
      </c>
      <c r="P589" t="s">
        <v>36</v>
      </c>
      <c r="Q589">
        <v>10</v>
      </c>
    </row>
    <row r="590" spans="13:17" x14ac:dyDescent="0.25">
      <c r="M590">
        <v>1999</v>
      </c>
      <c r="N590" t="s">
        <v>12</v>
      </c>
      <c r="O590" t="s">
        <v>58</v>
      </c>
      <c r="P590" t="s">
        <v>36</v>
      </c>
      <c r="Q590">
        <v>20</v>
      </c>
    </row>
    <row r="591" spans="13:17" x14ac:dyDescent="0.25">
      <c r="M591">
        <v>2008</v>
      </c>
      <c r="N591" t="s">
        <v>12</v>
      </c>
      <c r="O591" t="s">
        <v>58</v>
      </c>
      <c r="P591" t="s">
        <v>36</v>
      </c>
      <c r="Q591">
        <v>4.1749999999999998</v>
      </c>
    </row>
    <row r="592" spans="13:17" x14ac:dyDescent="0.25">
      <c r="M592">
        <v>2009</v>
      </c>
      <c r="N592" t="s">
        <v>12</v>
      </c>
      <c r="O592" t="s">
        <v>58</v>
      </c>
      <c r="P592" t="s">
        <v>36</v>
      </c>
      <c r="Q592">
        <v>0.96499999999999997</v>
      </c>
    </row>
    <row r="593" spans="13:17" x14ac:dyDescent="0.25">
      <c r="M593">
        <v>2010</v>
      </c>
      <c r="N593" t="s">
        <v>12</v>
      </c>
      <c r="O593" t="s">
        <v>58</v>
      </c>
      <c r="P593" t="s">
        <v>36</v>
      </c>
      <c r="Q593">
        <v>1.873</v>
      </c>
    </row>
    <row r="594" spans="13:17" x14ac:dyDescent="0.25">
      <c r="M594">
        <v>2011</v>
      </c>
      <c r="N594" t="s">
        <v>12</v>
      </c>
      <c r="O594" t="s">
        <v>58</v>
      </c>
      <c r="P594" t="s">
        <v>36</v>
      </c>
      <c r="Q594">
        <v>4.2409999999999997</v>
      </c>
    </row>
    <row r="595" spans="13:17" x14ac:dyDescent="0.25">
      <c r="M595">
        <v>2012</v>
      </c>
      <c r="N595" t="s">
        <v>12</v>
      </c>
      <c r="O595" t="s">
        <v>58</v>
      </c>
      <c r="P595" t="s">
        <v>36</v>
      </c>
      <c r="Q595">
        <v>1.526</v>
      </c>
    </row>
    <row r="596" spans="13:17" x14ac:dyDescent="0.25">
      <c r="M596">
        <v>2013</v>
      </c>
      <c r="N596" t="s">
        <v>12</v>
      </c>
      <c r="O596" t="s">
        <v>58</v>
      </c>
      <c r="P596" t="s">
        <v>36</v>
      </c>
      <c r="Q596">
        <v>5.2050000000000001</v>
      </c>
    </row>
    <row r="597" spans="13:17" x14ac:dyDescent="0.25">
      <c r="M597">
        <v>2014</v>
      </c>
      <c r="N597" t="s">
        <v>12</v>
      </c>
      <c r="O597" t="s">
        <v>58</v>
      </c>
      <c r="P597" t="s">
        <v>36</v>
      </c>
      <c r="Q597">
        <v>12.4176</v>
      </c>
    </row>
    <row r="598" spans="13:17" x14ac:dyDescent="0.25">
      <c r="M598">
        <v>2015</v>
      </c>
      <c r="N598" t="s">
        <v>12</v>
      </c>
      <c r="O598" t="s">
        <v>58</v>
      </c>
      <c r="P598" t="s">
        <v>36</v>
      </c>
      <c r="Q598">
        <v>5.1819499999999996</v>
      </c>
    </row>
    <row r="599" spans="13:17" x14ac:dyDescent="0.25">
      <c r="M599">
        <v>2016</v>
      </c>
      <c r="N599" t="s">
        <v>12</v>
      </c>
      <c r="O599" t="s">
        <v>58</v>
      </c>
      <c r="P599" t="s">
        <v>36</v>
      </c>
      <c r="Q599">
        <v>20.8508</v>
      </c>
    </row>
    <row r="600" spans="13:17" x14ac:dyDescent="0.25">
      <c r="M600">
        <v>2017</v>
      </c>
      <c r="N600" t="s">
        <v>12</v>
      </c>
      <c r="O600" t="s">
        <v>58</v>
      </c>
      <c r="P600" t="s">
        <v>36</v>
      </c>
      <c r="Q600">
        <v>16.067540000000001</v>
      </c>
    </row>
    <row r="601" spans="13:17" x14ac:dyDescent="0.25">
      <c r="M601">
        <v>2018</v>
      </c>
      <c r="N601" t="s">
        <v>12</v>
      </c>
      <c r="O601" t="s">
        <v>58</v>
      </c>
      <c r="P601" t="s">
        <v>36</v>
      </c>
      <c r="Q601">
        <v>25.974769999999999</v>
      </c>
    </row>
    <row r="602" spans="13:17" x14ac:dyDescent="0.25">
      <c r="M602">
        <v>2019</v>
      </c>
      <c r="N602" t="s">
        <v>12</v>
      </c>
      <c r="O602" t="s">
        <v>58</v>
      </c>
      <c r="P602" t="s">
        <v>36</v>
      </c>
      <c r="Q602">
        <v>30.463200000000001</v>
      </c>
    </row>
    <row r="603" spans="13:17" x14ac:dyDescent="0.25">
      <c r="M603">
        <v>2020</v>
      </c>
      <c r="N603" t="s">
        <v>12</v>
      </c>
      <c r="O603" t="s">
        <v>58</v>
      </c>
      <c r="P603" t="s">
        <v>36</v>
      </c>
      <c r="Q603">
        <v>22.300912</v>
      </c>
    </row>
    <row r="604" spans="13:17" x14ac:dyDescent="0.25">
      <c r="M604">
        <v>2021</v>
      </c>
      <c r="N604" t="s">
        <v>12</v>
      </c>
      <c r="O604" t="s">
        <v>58</v>
      </c>
      <c r="P604" t="s">
        <v>36</v>
      </c>
      <c r="Q604">
        <v>23.530480000000001</v>
      </c>
    </row>
    <row r="605" spans="13:17" x14ac:dyDescent="0.25">
      <c r="M605">
        <v>2022</v>
      </c>
      <c r="N605" t="s">
        <v>12</v>
      </c>
      <c r="O605" t="s">
        <v>58</v>
      </c>
      <c r="P605" t="s">
        <v>36</v>
      </c>
      <c r="Q605">
        <v>36.244126000000001</v>
      </c>
    </row>
    <row r="606" spans="13:17" x14ac:dyDescent="0.25">
      <c r="M606">
        <v>2023</v>
      </c>
      <c r="N606" t="s">
        <v>12</v>
      </c>
      <c r="O606" t="s">
        <v>58</v>
      </c>
      <c r="P606" t="s">
        <v>36</v>
      </c>
      <c r="Q606">
        <v>38.164935999999997</v>
      </c>
    </row>
    <row r="607" spans="13:17" x14ac:dyDescent="0.25">
      <c r="M607">
        <v>2024</v>
      </c>
      <c r="N607" t="s">
        <v>12</v>
      </c>
      <c r="O607" t="s">
        <v>58</v>
      </c>
      <c r="P607" t="s">
        <v>36</v>
      </c>
      <c r="Q607">
        <v>37.450750999999997</v>
      </c>
    </row>
    <row r="608" spans="13:17" x14ac:dyDescent="0.25">
      <c r="M608">
        <v>1972</v>
      </c>
      <c r="N608" t="s">
        <v>9</v>
      </c>
      <c r="O608" t="s">
        <v>58</v>
      </c>
      <c r="P608" t="s">
        <v>36</v>
      </c>
      <c r="Q608">
        <v>0</v>
      </c>
    </row>
    <row r="609" spans="13:17" x14ac:dyDescent="0.25">
      <c r="M609">
        <v>1973</v>
      </c>
      <c r="N609" t="s">
        <v>9</v>
      </c>
      <c r="O609" t="s">
        <v>58</v>
      </c>
      <c r="P609" t="s">
        <v>36</v>
      </c>
      <c r="Q609">
        <v>0</v>
      </c>
    </row>
    <row r="610" spans="13:17" x14ac:dyDescent="0.25">
      <c r="M610">
        <v>1974</v>
      </c>
      <c r="N610" t="s">
        <v>9</v>
      </c>
      <c r="O610" t="s">
        <v>58</v>
      </c>
      <c r="P610" t="s">
        <v>36</v>
      </c>
      <c r="Q610">
        <v>0</v>
      </c>
    </row>
    <row r="611" spans="13:17" x14ac:dyDescent="0.25">
      <c r="M611">
        <v>1975</v>
      </c>
      <c r="N611" t="s">
        <v>9</v>
      </c>
      <c r="O611" t="s">
        <v>58</v>
      </c>
      <c r="P611" t="s">
        <v>36</v>
      </c>
      <c r="Q611">
        <v>5</v>
      </c>
    </row>
    <row r="612" spans="13:17" x14ac:dyDescent="0.25">
      <c r="M612">
        <v>1976</v>
      </c>
      <c r="N612" t="s">
        <v>9</v>
      </c>
      <c r="O612" t="s">
        <v>58</v>
      </c>
      <c r="P612" t="s">
        <v>36</v>
      </c>
      <c r="Q612">
        <v>59</v>
      </c>
    </row>
    <row r="613" spans="13:17" x14ac:dyDescent="0.25">
      <c r="M613">
        <v>1977</v>
      </c>
      <c r="N613" t="s">
        <v>9</v>
      </c>
      <c r="O613" t="s">
        <v>58</v>
      </c>
      <c r="P613" t="s">
        <v>36</v>
      </c>
      <c r="Q613">
        <v>95</v>
      </c>
    </row>
    <row r="614" spans="13:17" x14ac:dyDescent="0.25">
      <c r="M614">
        <v>1978</v>
      </c>
      <c r="N614" t="s">
        <v>9</v>
      </c>
      <c r="O614" t="s">
        <v>58</v>
      </c>
      <c r="P614" t="s">
        <v>36</v>
      </c>
      <c r="Q614">
        <v>82</v>
      </c>
    </row>
    <row r="615" spans="13:17" x14ac:dyDescent="0.25">
      <c r="M615">
        <v>1979</v>
      </c>
      <c r="N615" t="s">
        <v>9</v>
      </c>
      <c r="O615" t="s">
        <v>58</v>
      </c>
      <c r="P615" t="s">
        <v>36</v>
      </c>
      <c r="Q615">
        <v>98</v>
      </c>
    </row>
    <row r="616" spans="13:17" x14ac:dyDescent="0.25">
      <c r="M616">
        <v>1980</v>
      </c>
      <c r="N616" t="s">
        <v>9</v>
      </c>
      <c r="O616" t="s">
        <v>58</v>
      </c>
      <c r="P616" t="s">
        <v>36</v>
      </c>
      <c r="Q616">
        <v>72</v>
      </c>
    </row>
    <row r="617" spans="13:17" x14ac:dyDescent="0.25">
      <c r="M617">
        <v>1981</v>
      </c>
      <c r="N617" t="s">
        <v>9</v>
      </c>
      <c r="O617" t="s">
        <v>58</v>
      </c>
      <c r="P617" t="s">
        <v>36</v>
      </c>
      <c r="Q617">
        <v>78</v>
      </c>
    </row>
    <row r="618" spans="13:17" x14ac:dyDescent="0.25">
      <c r="M618">
        <v>1982</v>
      </c>
      <c r="N618" t="s">
        <v>9</v>
      </c>
      <c r="O618" t="s">
        <v>58</v>
      </c>
      <c r="P618" t="s">
        <v>36</v>
      </c>
      <c r="Q618">
        <v>103</v>
      </c>
    </row>
    <row r="619" spans="13:17" x14ac:dyDescent="0.25">
      <c r="M619">
        <v>1983</v>
      </c>
      <c r="N619" t="s">
        <v>9</v>
      </c>
      <c r="O619" t="s">
        <v>58</v>
      </c>
      <c r="P619" t="s">
        <v>36</v>
      </c>
      <c r="Q619">
        <v>28</v>
      </c>
    </row>
    <row r="620" spans="13:17" x14ac:dyDescent="0.25">
      <c r="M620">
        <v>1984</v>
      </c>
      <c r="N620" t="s">
        <v>9</v>
      </c>
      <c r="O620" t="s">
        <v>58</v>
      </c>
      <c r="P620" t="s">
        <v>36</v>
      </c>
      <c r="Q620">
        <v>63</v>
      </c>
    </row>
    <row r="621" spans="13:17" x14ac:dyDescent="0.25">
      <c r="M621">
        <v>1985</v>
      </c>
      <c r="N621" t="s">
        <v>9</v>
      </c>
      <c r="O621" t="s">
        <v>58</v>
      </c>
      <c r="P621" t="s">
        <v>36</v>
      </c>
      <c r="Q621">
        <v>71</v>
      </c>
    </row>
    <row r="622" spans="13:17" x14ac:dyDescent="0.25">
      <c r="M622">
        <v>1986</v>
      </c>
      <c r="N622" t="s">
        <v>9</v>
      </c>
      <c r="O622" t="s">
        <v>58</v>
      </c>
      <c r="P622" t="s">
        <v>36</v>
      </c>
      <c r="Q622">
        <v>154</v>
      </c>
    </row>
    <row r="623" spans="13:17" x14ac:dyDescent="0.25">
      <c r="M623">
        <v>1987</v>
      </c>
      <c r="N623" t="s">
        <v>9</v>
      </c>
      <c r="O623" t="s">
        <v>58</v>
      </c>
      <c r="P623" t="s">
        <v>36</v>
      </c>
      <c r="Q623">
        <v>84</v>
      </c>
    </row>
    <row r="624" spans="13:17" x14ac:dyDescent="0.25">
      <c r="M624">
        <v>1988</v>
      </c>
      <c r="N624" t="s">
        <v>9</v>
      </c>
      <c r="O624" t="s">
        <v>58</v>
      </c>
      <c r="P624" t="s">
        <v>36</v>
      </c>
      <c r="Q624">
        <v>121</v>
      </c>
    </row>
    <row r="625" spans="13:17" x14ac:dyDescent="0.25">
      <c r="M625">
        <v>1989</v>
      </c>
      <c r="N625" t="s">
        <v>9</v>
      </c>
      <c r="O625" t="s">
        <v>58</v>
      </c>
      <c r="P625" t="s">
        <v>36</v>
      </c>
      <c r="Q625">
        <v>139</v>
      </c>
    </row>
    <row r="626" spans="13:17" x14ac:dyDescent="0.25">
      <c r="M626">
        <v>1990</v>
      </c>
      <c r="N626" t="s">
        <v>9</v>
      </c>
      <c r="O626" t="s">
        <v>58</v>
      </c>
      <c r="P626" t="s">
        <v>36</v>
      </c>
      <c r="Q626">
        <v>173</v>
      </c>
    </row>
    <row r="627" spans="13:17" x14ac:dyDescent="0.25">
      <c r="M627">
        <v>1991</v>
      </c>
      <c r="N627" t="s">
        <v>9</v>
      </c>
      <c r="O627" t="s">
        <v>58</v>
      </c>
      <c r="P627" t="s">
        <v>36</v>
      </c>
      <c r="Q627">
        <v>162</v>
      </c>
    </row>
    <row r="628" spans="13:17" x14ac:dyDescent="0.25">
      <c r="M628">
        <v>1992</v>
      </c>
      <c r="N628" t="s">
        <v>9</v>
      </c>
      <c r="O628" t="s">
        <v>58</v>
      </c>
      <c r="P628" t="s">
        <v>36</v>
      </c>
      <c r="Q628">
        <v>56.2</v>
      </c>
    </row>
    <row r="629" spans="13:17" x14ac:dyDescent="0.25">
      <c r="M629">
        <v>1993</v>
      </c>
      <c r="N629" t="s">
        <v>9</v>
      </c>
      <c r="O629" t="s">
        <v>58</v>
      </c>
      <c r="P629" t="s">
        <v>36</v>
      </c>
      <c r="Q629">
        <v>116</v>
      </c>
    </row>
    <row r="630" spans="13:17" x14ac:dyDescent="0.25">
      <c r="M630">
        <v>1994</v>
      </c>
      <c r="N630" t="s">
        <v>9</v>
      </c>
      <c r="O630" t="s">
        <v>58</v>
      </c>
      <c r="P630" t="s">
        <v>36</v>
      </c>
      <c r="Q630">
        <v>159</v>
      </c>
    </row>
    <row r="631" spans="13:17" x14ac:dyDescent="0.25">
      <c r="M631">
        <v>1995</v>
      </c>
      <c r="N631" t="s">
        <v>9</v>
      </c>
      <c r="O631" t="s">
        <v>58</v>
      </c>
      <c r="P631" t="s">
        <v>36</v>
      </c>
      <c r="Q631">
        <v>89</v>
      </c>
    </row>
    <row r="632" spans="13:17" x14ac:dyDescent="0.25">
      <c r="M632">
        <v>1996</v>
      </c>
      <c r="N632" t="s">
        <v>9</v>
      </c>
      <c r="O632" t="s">
        <v>58</v>
      </c>
      <c r="P632" t="s">
        <v>36</v>
      </c>
      <c r="Q632">
        <v>40</v>
      </c>
    </row>
    <row r="633" spans="13:17" x14ac:dyDescent="0.25">
      <c r="M633">
        <v>1997</v>
      </c>
      <c r="N633" t="s">
        <v>9</v>
      </c>
      <c r="O633" t="s">
        <v>58</v>
      </c>
      <c r="P633" t="s">
        <v>36</v>
      </c>
      <c r="Q633">
        <v>51</v>
      </c>
    </row>
    <row r="634" spans="13:17" x14ac:dyDescent="0.25">
      <c r="M634">
        <v>1998</v>
      </c>
      <c r="N634" t="s">
        <v>9</v>
      </c>
      <c r="O634" t="s">
        <v>58</v>
      </c>
      <c r="P634" t="s">
        <v>36</v>
      </c>
      <c r="Q634">
        <v>61</v>
      </c>
    </row>
    <row r="635" spans="13:17" x14ac:dyDescent="0.25">
      <c r="M635">
        <v>1999</v>
      </c>
      <c r="N635" t="s">
        <v>9</v>
      </c>
      <c r="O635" t="s">
        <v>58</v>
      </c>
      <c r="P635" t="s">
        <v>36</v>
      </c>
      <c r="Q635">
        <v>92</v>
      </c>
    </row>
    <row r="636" spans="13:17" x14ac:dyDescent="0.25">
      <c r="M636">
        <v>2000</v>
      </c>
      <c r="N636" t="s">
        <v>9</v>
      </c>
      <c r="O636" t="s">
        <v>58</v>
      </c>
      <c r="P636" t="s">
        <v>36</v>
      </c>
      <c r="Q636">
        <v>82.334999999999994</v>
      </c>
    </row>
    <row r="637" spans="13:17" x14ac:dyDescent="0.25">
      <c r="M637">
        <v>2001</v>
      </c>
      <c r="N637" t="s">
        <v>9</v>
      </c>
      <c r="O637" t="s">
        <v>58</v>
      </c>
      <c r="P637" t="s">
        <v>36</v>
      </c>
      <c r="Q637">
        <v>135.322</v>
      </c>
    </row>
    <row r="638" spans="13:17" x14ac:dyDescent="0.25">
      <c r="M638">
        <v>2002</v>
      </c>
      <c r="N638" t="s">
        <v>9</v>
      </c>
      <c r="O638" t="s">
        <v>58</v>
      </c>
      <c r="P638" t="s">
        <v>36</v>
      </c>
      <c r="Q638">
        <v>103.584</v>
      </c>
    </row>
    <row r="639" spans="13:17" x14ac:dyDescent="0.25">
      <c r="M639">
        <v>2003</v>
      </c>
      <c r="N639" t="s">
        <v>9</v>
      </c>
      <c r="O639" t="s">
        <v>58</v>
      </c>
      <c r="P639" t="s">
        <v>36</v>
      </c>
      <c r="Q639">
        <v>47.404000000000003</v>
      </c>
    </row>
    <row r="640" spans="13:17" x14ac:dyDescent="0.25">
      <c r="M640">
        <v>2004</v>
      </c>
      <c r="N640" t="s">
        <v>9</v>
      </c>
      <c r="O640" t="s">
        <v>58</v>
      </c>
      <c r="P640" t="s">
        <v>36</v>
      </c>
      <c r="Q640">
        <v>49.112000000000002</v>
      </c>
    </row>
    <row r="641" spans="13:17" x14ac:dyDescent="0.25">
      <c r="M641">
        <v>2005</v>
      </c>
      <c r="N641" t="s">
        <v>9</v>
      </c>
      <c r="O641" t="s">
        <v>58</v>
      </c>
      <c r="P641" t="s">
        <v>36</v>
      </c>
      <c r="Q641">
        <v>52.781999999999996</v>
      </c>
    </row>
    <row r="642" spans="13:17" x14ac:dyDescent="0.25">
      <c r="M642">
        <v>2006</v>
      </c>
      <c r="N642" t="s">
        <v>9</v>
      </c>
      <c r="O642" t="s">
        <v>58</v>
      </c>
      <c r="P642" t="s">
        <v>36</v>
      </c>
      <c r="Q642">
        <v>42.683999999999997</v>
      </c>
    </row>
    <row r="643" spans="13:17" x14ac:dyDescent="0.25">
      <c r="M643">
        <v>2007</v>
      </c>
      <c r="N643" t="s">
        <v>9</v>
      </c>
      <c r="O643" t="s">
        <v>58</v>
      </c>
      <c r="P643" t="s">
        <v>36</v>
      </c>
      <c r="Q643">
        <v>67.412000000000006</v>
      </c>
    </row>
    <row r="644" spans="13:17" x14ac:dyDescent="0.25">
      <c r="M644">
        <v>2008</v>
      </c>
      <c r="N644" t="s">
        <v>9</v>
      </c>
      <c r="O644" t="s">
        <v>58</v>
      </c>
      <c r="P644" t="s">
        <v>36</v>
      </c>
      <c r="Q644">
        <v>66.620999999999995</v>
      </c>
    </row>
    <row r="645" spans="13:17" x14ac:dyDescent="0.25">
      <c r="M645">
        <v>2009</v>
      </c>
      <c r="N645" t="s">
        <v>9</v>
      </c>
      <c r="O645" t="s">
        <v>58</v>
      </c>
      <c r="P645" t="s">
        <v>36</v>
      </c>
      <c r="Q645">
        <v>37.771000000000001</v>
      </c>
    </row>
    <row r="646" spans="13:17" x14ac:dyDescent="0.25">
      <c r="M646">
        <v>2010</v>
      </c>
      <c r="N646" t="s">
        <v>9</v>
      </c>
      <c r="O646" t="s">
        <v>58</v>
      </c>
      <c r="P646" t="s">
        <v>36</v>
      </c>
      <c r="Q646">
        <v>31.056999999999999</v>
      </c>
    </row>
    <row r="647" spans="13:17" x14ac:dyDescent="0.25">
      <c r="M647">
        <v>2011</v>
      </c>
      <c r="N647" t="s">
        <v>9</v>
      </c>
      <c r="O647" t="s">
        <v>58</v>
      </c>
      <c r="P647" t="s">
        <v>36</v>
      </c>
      <c r="Q647">
        <v>34.61</v>
      </c>
    </row>
    <row r="648" spans="13:17" x14ac:dyDescent="0.25">
      <c r="M648">
        <v>2012</v>
      </c>
      <c r="N648" t="s">
        <v>9</v>
      </c>
      <c r="O648" t="s">
        <v>58</v>
      </c>
      <c r="P648" t="s">
        <v>36</v>
      </c>
      <c r="Q648">
        <v>35.253999999999998</v>
      </c>
    </row>
    <row r="649" spans="13:17" x14ac:dyDescent="0.25">
      <c r="M649">
        <v>2013</v>
      </c>
      <c r="N649" t="s">
        <v>9</v>
      </c>
      <c r="O649" t="s">
        <v>58</v>
      </c>
      <c r="P649" t="s">
        <v>36</v>
      </c>
      <c r="Q649">
        <v>51.484999999999999</v>
      </c>
    </row>
    <row r="650" spans="13:17" x14ac:dyDescent="0.25">
      <c r="M650">
        <v>2014</v>
      </c>
      <c r="N650" t="s">
        <v>9</v>
      </c>
      <c r="O650" t="s">
        <v>58</v>
      </c>
      <c r="P650" t="s">
        <v>36</v>
      </c>
      <c r="Q650">
        <v>58.628</v>
      </c>
    </row>
    <row r="651" spans="13:17" x14ac:dyDescent="0.25">
      <c r="M651">
        <v>2015</v>
      </c>
      <c r="N651" t="s">
        <v>9</v>
      </c>
      <c r="O651" t="s">
        <v>58</v>
      </c>
      <c r="P651" t="s">
        <v>36</v>
      </c>
      <c r="Q651">
        <v>53.93</v>
      </c>
    </row>
    <row r="652" spans="13:17" x14ac:dyDescent="0.25">
      <c r="M652">
        <v>2016</v>
      </c>
      <c r="N652" t="s">
        <v>9</v>
      </c>
      <c r="O652" t="s">
        <v>58</v>
      </c>
      <c r="P652" t="s">
        <v>36</v>
      </c>
      <c r="Q652">
        <v>52.825000000000003</v>
      </c>
    </row>
    <row r="653" spans="13:17" x14ac:dyDescent="0.25">
      <c r="M653">
        <v>2017</v>
      </c>
      <c r="N653" t="s">
        <v>9</v>
      </c>
      <c r="O653" t="s">
        <v>58</v>
      </c>
      <c r="P653" t="s">
        <v>36</v>
      </c>
      <c r="Q653">
        <v>49.598999999999997</v>
      </c>
    </row>
    <row r="654" spans="13:17" x14ac:dyDescent="0.25">
      <c r="M654">
        <v>2018</v>
      </c>
      <c r="N654" t="s">
        <v>9</v>
      </c>
      <c r="O654" t="s">
        <v>58</v>
      </c>
      <c r="P654" t="s">
        <v>36</v>
      </c>
      <c r="Q654">
        <v>45.427</v>
      </c>
    </row>
    <row r="655" spans="13:17" x14ac:dyDescent="0.25">
      <c r="M655">
        <v>2019</v>
      </c>
      <c r="N655" t="s">
        <v>9</v>
      </c>
      <c r="O655" t="s">
        <v>58</v>
      </c>
      <c r="P655" t="s">
        <v>36</v>
      </c>
      <c r="Q655">
        <v>24.071000000000002</v>
      </c>
    </row>
    <row r="656" spans="13:17" x14ac:dyDescent="0.25">
      <c r="M656">
        <v>2020</v>
      </c>
      <c r="N656" t="s">
        <v>9</v>
      </c>
      <c r="O656" t="s">
        <v>58</v>
      </c>
      <c r="P656" t="s">
        <v>36</v>
      </c>
      <c r="Q656">
        <v>29.925000000000001</v>
      </c>
    </row>
    <row r="657" spans="13:17" x14ac:dyDescent="0.25">
      <c r="M657">
        <v>2021</v>
      </c>
      <c r="N657" t="s">
        <v>9</v>
      </c>
      <c r="O657" t="s">
        <v>58</v>
      </c>
      <c r="P657" t="s">
        <v>36</v>
      </c>
      <c r="Q657">
        <v>55.695</v>
      </c>
    </row>
    <row r="658" spans="13:17" x14ac:dyDescent="0.25">
      <c r="M658">
        <v>2022</v>
      </c>
      <c r="N658" t="s">
        <v>9</v>
      </c>
      <c r="O658" t="s">
        <v>58</v>
      </c>
      <c r="P658" t="s">
        <v>36</v>
      </c>
      <c r="Q658">
        <v>36.220041999999999</v>
      </c>
    </row>
    <row r="659" spans="13:17" x14ac:dyDescent="0.25">
      <c r="M659">
        <v>2023</v>
      </c>
      <c r="N659" t="s">
        <v>9</v>
      </c>
      <c r="O659" t="s">
        <v>58</v>
      </c>
      <c r="P659" t="s">
        <v>36</v>
      </c>
      <c r="Q659">
        <v>57.376330000000003</v>
      </c>
    </row>
    <row r="660" spans="13:17" x14ac:dyDescent="0.25">
      <c r="M660">
        <v>2024</v>
      </c>
      <c r="N660" t="s">
        <v>9</v>
      </c>
      <c r="O660" t="s">
        <v>58</v>
      </c>
      <c r="P660" t="s">
        <v>36</v>
      </c>
      <c r="Q660">
        <v>61.404992</v>
      </c>
    </row>
    <row r="661" spans="13:17" x14ac:dyDescent="0.25">
      <c r="M661">
        <v>2001</v>
      </c>
      <c r="N661" t="s">
        <v>11</v>
      </c>
      <c r="O661" t="s">
        <v>58</v>
      </c>
      <c r="P661" t="s">
        <v>36</v>
      </c>
      <c r="Q661">
        <v>12</v>
      </c>
    </row>
    <row r="662" spans="13:17" x14ac:dyDescent="0.25">
      <c r="M662">
        <v>2002</v>
      </c>
      <c r="N662" t="s">
        <v>11</v>
      </c>
      <c r="O662" t="s">
        <v>58</v>
      </c>
      <c r="P662" t="s">
        <v>36</v>
      </c>
      <c r="Q662">
        <v>27</v>
      </c>
    </row>
    <row r="663" spans="13:17" x14ac:dyDescent="0.25">
      <c r="M663">
        <v>2003</v>
      </c>
      <c r="N663" t="s">
        <v>11</v>
      </c>
      <c r="O663" t="s">
        <v>58</v>
      </c>
      <c r="P663" t="s">
        <v>36</v>
      </c>
      <c r="Q663">
        <v>19.5</v>
      </c>
    </row>
    <row r="664" spans="13:17" x14ac:dyDescent="0.25">
      <c r="M664">
        <v>2004</v>
      </c>
      <c r="N664" t="s">
        <v>11</v>
      </c>
      <c r="O664" t="s">
        <v>58</v>
      </c>
      <c r="P664" t="s">
        <v>36</v>
      </c>
      <c r="Q664">
        <v>19</v>
      </c>
    </row>
    <row r="665" spans="13:17" x14ac:dyDescent="0.25">
      <c r="M665">
        <v>2005</v>
      </c>
      <c r="N665" t="s">
        <v>11</v>
      </c>
      <c r="O665" t="s">
        <v>58</v>
      </c>
      <c r="P665" t="s">
        <v>36</v>
      </c>
      <c r="Q665">
        <v>21.832999999999998</v>
      </c>
    </row>
    <row r="666" spans="13:17" x14ac:dyDescent="0.25">
      <c r="M666">
        <v>2006</v>
      </c>
      <c r="N666" t="s">
        <v>11</v>
      </c>
      <c r="O666" t="s">
        <v>58</v>
      </c>
      <c r="P666" t="s">
        <v>36</v>
      </c>
      <c r="Q666">
        <v>20.111000000000001</v>
      </c>
    </row>
    <row r="667" spans="13:17" x14ac:dyDescent="0.25">
      <c r="M667">
        <v>2007</v>
      </c>
      <c r="N667" t="s">
        <v>11</v>
      </c>
      <c r="O667" t="s">
        <v>58</v>
      </c>
      <c r="P667" t="s">
        <v>36</v>
      </c>
      <c r="Q667">
        <v>14.032</v>
      </c>
    </row>
    <row r="668" spans="13:17" x14ac:dyDescent="0.25">
      <c r="M668">
        <v>2008</v>
      </c>
      <c r="N668" t="s">
        <v>11</v>
      </c>
      <c r="O668" t="s">
        <v>58</v>
      </c>
      <c r="P668" t="s">
        <v>36</v>
      </c>
      <c r="Q668">
        <v>14.054</v>
      </c>
    </row>
    <row r="669" spans="13:17" x14ac:dyDescent="0.25">
      <c r="M669">
        <v>2009</v>
      </c>
      <c r="N669" t="s">
        <v>11</v>
      </c>
      <c r="O669" t="s">
        <v>58</v>
      </c>
      <c r="P669" t="s">
        <v>36</v>
      </c>
      <c r="Q669">
        <v>10.195880000000001</v>
      </c>
    </row>
    <row r="670" spans="13:17" x14ac:dyDescent="0.25">
      <c r="M670">
        <v>2010</v>
      </c>
      <c r="N670" t="s">
        <v>11</v>
      </c>
      <c r="O670" t="s">
        <v>58</v>
      </c>
      <c r="P670" t="s">
        <v>36</v>
      </c>
      <c r="Q670">
        <v>72.523889999999994</v>
      </c>
    </row>
    <row r="671" spans="13:17" x14ac:dyDescent="0.25">
      <c r="M671">
        <v>2011</v>
      </c>
      <c r="N671" t="s">
        <v>11</v>
      </c>
      <c r="O671" t="s">
        <v>58</v>
      </c>
      <c r="P671" t="s">
        <v>36</v>
      </c>
      <c r="Q671">
        <v>39.250880000000002</v>
      </c>
    </row>
    <row r="672" spans="13:17" x14ac:dyDescent="0.25">
      <c r="M672">
        <v>2012</v>
      </c>
      <c r="N672" t="s">
        <v>11</v>
      </c>
      <c r="O672" t="s">
        <v>58</v>
      </c>
      <c r="P672" t="s">
        <v>36</v>
      </c>
      <c r="Q672">
        <v>9.6074999999999999</v>
      </c>
    </row>
    <row r="673" spans="13:17" x14ac:dyDescent="0.25">
      <c r="M673">
        <v>2013</v>
      </c>
      <c r="N673" t="s">
        <v>11</v>
      </c>
      <c r="O673" t="s">
        <v>58</v>
      </c>
      <c r="P673" t="s">
        <v>36</v>
      </c>
      <c r="Q673">
        <v>57.512300000000003</v>
      </c>
    </row>
    <row r="674" spans="13:17" x14ac:dyDescent="0.25">
      <c r="M674">
        <v>2014</v>
      </c>
      <c r="N674" t="s">
        <v>11</v>
      </c>
      <c r="O674" t="s">
        <v>58</v>
      </c>
      <c r="P674" t="s">
        <v>36</v>
      </c>
      <c r="Q674">
        <v>118.91691</v>
      </c>
    </row>
    <row r="675" spans="13:17" x14ac:dyDescent="0.25">
      <c r="M675">
        <v>2015</v>
      </c>
      <c r="N675" t="s">
        <v>11</v>
      </c>
      <c r="O675" t="s">
        <v>58</v>
      </c>
      <c r="P675" t="s">
        <v>36</v>
      </c>
      <c r="Q675">
        <v>178.39831000000001</v>
      </c>
    </row>
    <row r="676" spans="13:17" x14ac:dyDescent="0.25">
      <c r="M676">
        <v>2016</v>
      </c>
      <c r="N676" t="s">
        <v>11</v>
      </c>
      <c r="O676" t="s">
        <v>58</v>
      </c>
      <c r="P676" t="s">
        <v>36</v>
      </c>
      <c r="Q676">
        <v>171.67107999999999</v>
      </c>
    </row>
    <row r="677" spans="13:17" x14ac:dyDescent="0.25">
      <c r="M677">
        <v>2017</v>
      </c>
      <c r="N677" t="s">
        <v>11</v>
      </c>
      <c r="O677" t="s">
        <v>58</v>
      </c>
      <c r="P677" t="s">
        <v>36</v>
      </c>
      <c r="Q677">
        <v>107.703</v>
      </c>
    </row>
    <row r="678" spans="13:17" x14ac:dyDescent="0.25">
      <c r="M678">
        <v>2018</v>
      </c>
      <c r="N678" t="s">
        <v>11</v>
      </c>
      <c r="O678" t="s">
        <v>58</v>
      </c>
      <c r="P678" t="s">
        <v>36</v>
      </c>
      <c r="Q678">
        <v>83.316999999999993</v>
      </c>
    </row>
    <row r="679" spans="13:17" x14ac:dyDescent="0.25">
      <c r="M679">
        <v>2019</v>
      </c>
      <c r="N679" t="s">
        <v>11</v>
      </c>
      <c r="O679" t="s">
        <v>58</v>
      </c>
      <c r="P679" t="s">
        <v>36</v>
      </c>
      <c r="Q679">
        <v>68.927189999999996</v>
      </c>
    </row>
    <row r="680" spans="13:17" x14ac:dyDescent="0.25">
      <c r="M680">
        <v>2020</v>
      </c>
      <c r="N680" t="s">
        <v>11</v>
      </c>
      <c r="O680" t="s">
        <v>58</v>
      </c>
      <c r="P680" t="s">
        <v>36</v>
      </c>
      <c r="Q680">
        <v>104.28287899999999</v>
      </c>
    </row>
    <row r="681" spans="13:17" x14ac:dyDescent="0.25">
      <c r="M681">
        <v>2021</v>
      </c>
      <c r="N681" t="s">
        <v>11</v>
      </c>
      <c r="O681" t="s">
        <v>58</v>
      </c>
      <c r="P681" t="s">
        <v>36</v>
      </c>
      <c r="Q681">
        <v>91.123508999999999</v>
      </c>
    </row>
    <row r="682" spans="13:17" x14ac:dyDescent="0.25">
      <c r="M682">
        <v>2022</v>
      </c>
      <c r="N682" t="s">
        <v>11</v>
      </c>
      <c r="O682" t="s">
        <v>58</v>
      </c>
      <c r="P682" t="s">
        <v>36</v>
      </c>
      <c r="Q682">
        <v>59.919626999999998</v>
      </c>
    </row>
    <row r="683" spans="13:17" x14ac:dyDescent="0.25">
      <c r="M683">
        <v>2023</v>
      </c>
      <c r="N683" t="s">
        <v>11</v>
      </c>
      <c r="O683" t="s">
        <v>58</v>
      </c>
      <c r="P683" t="s">
        <v>36</v>
      </c>
      <c r="Q683">
        <v>63.836956999999998</v>
      </c>
    </row>
    <row r="684" spans="13:17" x14ac:dyDescent="0.25">
      <c r="M684">
        <v>2024</v>
      </c>
      <c r="N684" t="s">
        <v>11</v>
      </c>
      <c r="O684" t="s">
        <v>58</v>
      </c>
      <c r="P684" t="s">
        <v>36</v>
      </c>
      <c r="Q684">
        <v>74.999312000000003</v>
      </c>
    </row>
    <row r="685" spans="13:17" x14ac:dyDescent="0.25">
      <c r="M685">
        <v>1981</v>
      </c>
      <c r="N685" t="s">
        <v>3</v>
      </c>
      <c r="O685" t="s">
        <v>58</v>
      </c>
      <c r="P685" t="s">
        <v>36</v>
      </c>
      <c r="Q685">
        <v>91</v>
      </c>
    </row>
    <row r="686" spans="13:17" x14ac:dyDescent="0.25">
      <c r="M686">
        <v>1982</v>
      </c>
      <c r="N686" t="s">
        <v>3</v>
      </c>
      <c r="O686" t="s">
        <v>58</v>
      </c>
      <c r="P686" t="s">
        <v>36</v>
      </c>
      <c r="Q686">
        <v>773</v>
      </c>
    </row>
    <row r="687" spans="13:17" x14ac:dyDescent="0.25">
      <c r="M687">
        <v>1983</v>
      </c>
      <c r="N687" t="s">
        <v>3</v>
      </c>
      <c r="O687" t="s">
        <v>58</v>
      </c>
      <c r="P687" t="s">
        <v>36</v>
      </c>
      <c r="Q687">
        <v>772</v>
      </c>
    </row>
    <row r="688" spans="13:17" x14ac:dyDescent="0.25">
      <c r="M688">
        <v>1984</v>
      </c>
      <c r="N688" t="s">
        <v>3</v>
      </c>
      <c r="O688" t="s">
        <v>58</v>
      </c>
      <c r="P688" t="s">
        <v>36</v>
      </c>
      <c r="Q688">
        <v>1081</v>
      </c>
    </row>
    <row r="689" spans="13:17" x14ac:dyDescent="0.25">
      <c r="M689">
        <v>1985</v>
      </c>
      <c r="N689" t="s">
        <v>3</v>
      </c>
      <c r="O689" t="s">
        <v>58</v>
      </c>
      <c r="P689" t="s">
        <v>36</v>
      </c>
      <c r="Q689">
        <v>1036</v>
      </c>
    </row>
    <row r="690" spans="13:17" x14ac:dyDescent="0.25">
      <c r="M690">
        <v>1986</v>
      </c>
      <c r="N690" t="s">
        <v>3</v>
      </c>
      <c r="O690" t="s">
        <v>58</v>
      </c>
      <c r="P690" t="s">
        <v>36</v>
      </c>
      <c r="Q690">
        <v>1714</v>
      </c>
    </row>
    <row r="691" spans="13:17" x14ac:dyDescent="0.25">
      <c r="M691">
        <v>1987</v>
      </c>
      <c r="N691" t="s">
        <v>3</v>
      </c>
      <c r="O691" t="s">
        <v>58</v>
      </c>
      <c r="P691" t="s">
        <v>36</v>
      </c>
      <c r="Q691">
        <v>1303</v>
      </c>
    </row>
    <row r="692" spans="13:17" x14ac:dyDescent="0.25">
      <c r="M692">
        <v>1988</v>
      </c>
      <c r="N692" t="s">
        <v>3</v>
      </c>
      <c r="O692" t="s">
        <v>58</v>
      </c>
      <c r="P692" t="s">
        <v>36</v>
      </c>
      <c r="Q692">
        <v>1008</v>
      </c>
    </row>
    <row r="693" spans="13:17" x14ac:dyDescent="0.25">
      <c r="M693">
        <v>1989</v>
      </c>
      <c r="N693" t="s">
        <v>3</v>
      </c>
      <c r="O693" t="s">
        <v>58</v>
      </c>
      <c r="P693" t="s">
        <v>36</v>
      </c>
      <c r="Q693">
        <v>1120</v>
      </c>
    </row>
    <row r="694" spans="13:17" x14ac:dyDescent="0.25">
      <c r="M694">
        <v>1990</v>
      </c>
      <c r="N694" t="s">
        <v>3</v>
      </c>
      <c r="O694" t="s">
        <v>58</v>
      </c>
      <c r="P694" t="s">
        <v>36</v>
      </c>
      <c r="Q694">
        <v>1344</v>
      </c>
    </row>
    <row r="695" spans="13:17" x14ac:dyDescent="0.25">
      <c r="M695">
        <v>1991</v>
      </c>
      <c r="N695" t="s">
        <v>3</v>
      </c>
      <c r="O695" t="s">
        <v>58</v>
      </c>
      <c r="P695" t="s">
        <v>36</v>
      </c>
      <c r="Q695">
        <v>1904</v>
      </c>
    </row>
    <row r="696" spans="13:17" x14ac:dyDescent="0.25">
      <c r="M696">
        <v>1992</v>
      </c>
      <c r="N696" t="s">
        <v>3</v>
      </c>
      <c r="O696" t="s">
        <v>58</v>
      </c>
      <c r="P696" t="s">
        <v>36</v>
      </c>
      <c r="Q696">
        <v>1456</v>
      </c>
    </row>
    <row r="697" spans="13:17" x14ac:dyDescent="0.25">
      <c r="M697">
        <v>1993</v>
      </c>
      <c r="N697" t="s">
        <v>3</v>
      </c>
      <c r="O697" t="s">
        <v>58</v>
      </c>
      <c r="P697" t="s">
        <v>36</v>
      </c>
      <c r="Q697">
        <v>1568</v>
      </c>
    </row>
    <row r="698" spans="13:17" x14ac:dyDescent="0.25">
      <c r="M698">
        <v>1994</v>
      </c>
      <c r="N698" t="s">
        <v>3</v>
      </c>
      <c r="O698" t="s">
        <v>58</v>
      </c>
      <c r="P698" t="s">
        <v>36</v>
      </c>
      <c r="Q698">
        <v>2520</v>
      </c>
    </row>
    <row r="699" spans="13:17" x14ac:dyDescent="0.25">
      <c r="M699">
        <v>1995</v>
      </c>
      <c r="N699" t="s">
        <v>3</v>
      </c>
      <c r="O699" t="s">
        <v>58</v>
      </c>
      <c r="P699" t="s">
        <v>36</v>
      </c>
      <c r="Q699">
        <v>974</v>
      </c>
    </row>
    <row r="700" spans="13:17" x14ac:dyDescent="0.25">
      <c r="M700">
        <v>1996</v>
      </c>
      <c r="N700" t="s">
        <v>3</v>
      </c>
      <c r="O700" t="s">
        <v>58</v>
      </c>
      <c r="P700" t="s">
        <v>36</v>
      </c>
      <c r="Q700">
        <v>1237</v>
      </c>
    </row>
    <row r="701" spans="13:17" x14ac:dyDescent="0.25">
      <c r="M701">
        <v>1997</v>
      </c>
      <c r="N701" t="s">
        <v>3</v>
      </c>
      <c r="O701" t="s">
        <v>58</v>
      </c>
      <c r="P701" t="s">
        <v>36</v>
      </c>
      <c r="Q701">
        <v>750</v>
      </c>
    </row>
    <row r="702" spans="13:17" x14ac:dyDescent="0.25">
      <c r="M702">
        <v>1998</v>
      </c>
      <c r="N702" t="s">
        <v>3</v>
      </c>
      <c r="O702" t="s">
        <v>58</v>
      </c>
      <c r="P702" t="s">
        <v>36</v>
      </c>
      <c r="Q702">
        <v>1650</v>
      </c>
    </row>
    <row r="703" spans="13:17" x14ac:dyDescent="0.25">
      <c r="M703">
        <v>1999</v>
      </c>
      <c r="N703" t="s">
        <v>3</v>
      </c>
      <c r="O703" t="s">
        <v>58</v>
      </c>
      <c r="P703" t="s">
        <v>36</v>
      </c>
      <c r="Q703">
        <v>1520</v>
      </c>
    </row>
    <row r="704" spans="13:17" x14ac:dyDescent="0.25">
      <c r="M704">
        <v>2000</v>
      </c>
      <c r="N704" t="s">
        <v>3</v>
      </c>
      <c r="O704" t="s">
        <v>58</v>
      </c>
      <c r="P704" t="s">
        <v>36</v>
      </c>
      <c r="Q704">
        <v>1960</v>
      </c>
    </row>
    <row r="705" spans="13:17" x14ac:dyDescent="0.25">
      <c r="M705">
        <v>2001</v>
      </c>
      <c r="N705" t="s">
        <v>3</v>
      </c>
      <c r="O705" t="s">
        <v>58</v>
      </c>
      <c r="P705" t="s">
        <v>36</v>
      </c>
      <c r="Q705">
        <v>1730</v>
      </c>
    </row>
    <row r="706" spans="13:17" x14ac:dyDescent="0.25">
      <c r="M706">
        <v>2002</v>
      </c>
      <c r="N706" t="s">
        <v>3</v>
      </c>
      <c r="O706" t="s">
        <v>58</v>
      </c>
      <c r="P706" t="s">
        <v>36</v>
      </c>
      <c r="Q706">
        <v>1680</v>
      </c>
    </row>
    <row r="707" spans="13:17" x14ac:dyDescent="0.25">
      <c r="M707">
        <v>2003</v>
      </c>
      <c r="N707" t="s">
        <v>3</v>
      </c>
      <c r="O707" t="s">
        <v>58</v>
      </c>
      <c r="P707" t="s">
        <v>36</v>
      </c>
      <c r="Q707">
        <v>1230</v>
      </c>
    </row>
    <row r="708" spans="13:17" x14ac:dyDescent="0.25">
      <c r="M708">
        <v>2004</v>
      </c>
      <c r="N708" t="s">
        <v>3</v>
      </c>
      <c r="O708" t="s">
        <v>58</v>
      </c>
      <c r="P708" t="s">
        <v>36</v>
      </c>
      <c r="Q708">
        <v>1120.3</v>
      </c>
    </row>
    <row r="709" spans="13:17" x14ac:dyDescent="0.25">
      <c r="M709">
        <v>2005</v>
      </c>
      <c r="N709" t="s">
        <v>3</v>
      </c>
      <c r="O709" t="s">
        <v>58</v>
      </c>
      <c r="P709" t="s">
        <v>36</v>
      </c>
      <c r="Q709">
        <v>1310.7</v>
      </c>
    </row>
    <row r="710" spans="13:17" x14ac:dyDescent="0.25">
      <c r="M710">
        <v>2006</v>
      </c>
      <c r="N710" t="s">
        <v>3</v>
      </c>
      <c r="O710" t="s">
        <v>58</v>
      </c>
      <c r="P710" t="s">
        <v>36</v>
      </c>
      <c r="Q710">
        <v>1358.3</v>
      </c>
    </row>
    <row r="711" spans="13:17" x14ac:dyDescent="0.25">
      <c r="M711">
        <v>2007</v>
      </c>
      <c r="N711" t="s">
        <v>3</v>
      </c>
      <c r="O711" t="s">
        <v>58</v>
      </c>
      <c r="P711" t="s">
        <v>36</v>
      </c>
      <c r="Q711">
        <v>1887.4839999999999</v>
      </c>
    </row>
    <row r="712" spans="13:17" x14ac:dyDescent="0.25">
      <c r="M712">
        <v>2008</v>
      </c>
      <c r="N712" t="s">
        <v>3</v>
      </c>
      <c r="O712" t="s">
        <v>58</v>
      </c>
      <c r="P712" t="s">
        <v>36</v>
      </c>
      <c r="Q712">
        <v>961.98500000000001</v>
      </c>
    </row>
    <row r="713" spans="13:17" x14ac:dyDescent="0.25">
      <c r="M713">
        <v>2009</v>
      </c>
      <c r="N713" t="s">
        <v>3</v>
      </c>
      <c r="O713" t="s">
        <v>58</v>
      </c>
      <c r="P713" t="s">
        <v>36</v>
      </c>
      <c r="Q713">
        <v>1131.7349999999999</v>
      </c>
    </row>
    <row r="714" spans="13:17" x14ac:dyDescent="0.25">
      <c r="M714">
        <v>2010</v>
      </c>
      <c r="N714" t="s">
        <v>3</v>
      </c>
      <c r="O714" t="s">
        <v>58</v>
      </c>
      <c r="P714" t="s">
        <v>36</v>
      </c>
      <c r="Q714">
        <v>1493.998</v>
      </c>
    </row>
    <row r="715" spans="13:17" x14ac:dyDescent="0.25">
      <c r="M715">
        <v>2011</v>
      </c>
      <c r="N715" t="s">
        <v>3</v>
      </c>
      <c r="O715" t="s">
        <v>58</v>
      </c>
      <c r="P715" t="s">
        <v>36</v>
      </c>
      <c r="Q715">
        <v>1306.3140000000001</v>
      </c>
    </row>
    <row r="716" spans="13:17" x14ac:dyDescent="0.25">
      <c r="M716">
        <v>2012</v>
      </c>
      <c r="N716" t="s">
        <v>3</v>
      </c>
      <c r="O716" t="s">
        <v>58</v>
      </c>
      <c r="P716" t="s">
        <v>36</v>
      </c>
      <c r="Q716">
        <v>877.31</v>
      </c>
    </row>
    <row r="717" spans="13:17" x14ac:dyDescent="0.25">
      <c r="M717">
        <v>2013</v>
      </c>
      <c r="N717" t="s">
        <v>3</v>
      </c>
      <c r="O717" t="s">
        <v>58</v>
      </c>
      <c r="P717" t="s">
        <v>36</v>
      </c>
      <c r="Q717">
        <v>1730.5239999999999</v>
      </c>
    </row>
    <row r="718" spans="13:17" x14ac:dyDescent="0.25">
      <c r="M718">
        <v>2014</v>
      </c>
      <c r="N718" t="s">
        <v>3</v>
      </c>
      <c r="O718" t="s">
        <v>58</v>
      </c>
      <c r="P718" t="s">
        <v>36</v>
      </c>
      <c r="Q718">
        <v>1343.856</v>
      </c>
    </row>
    <row r="719" spans="13:17" x14ac:dyDescent="0.25">
      <c r="M719">
        <v>2015</v>
      </c>
      <c r="N719" t="s">
        <v>3</v>
      </c>
      <c r="O719" t="s">
        <v>58</v>
      </c>
      <c r="P719" t="s">
        <v>36</v>
      </c>
      <c r="Q719">
        <v>760.68</v>
      </c>
    </row>
    <row r="720" spans="13:17" x14ac:dyDescent="0.25">
      <c r="M720">
        <v>2016</v>
      </c>
      <c r="N720" t="s">
        <v>3</v>
      </c>
      <c r="O720" t="s">
        <v>58</v>
      </c>
      <c r="P720" t="s">
        <v>36</v>
      </c>
      <c r="Q720">
        <v>760.77099999999996</v>
      </c>
    </row>
    <row r="721" spans="13:17" x14ac:dyDescent="0.25">
      <c r="M721">
        <v>2017</v>
      </c>
      <c r="N721" t="s">
        <v>3</v>
      </c>
      <c r="O721" t="s">
        <v>58</v>
      </c>
      <c r="P721" t="s">
        <v>36</v>
      </c>
      <c r="Q721">
        <v>391.9</v>
      </c>
    </row>
    <row r="722" spans="13:17" x14ac:dyDescent="0.25">
      <c r="M722">
        <v>2018</v>
      </c>
      <c r="N722" t="s">
        <v>3</v>
      </c>
      <c r="O722" t="s">
        <v>58</v>
      </c>
      <c r="P722" t="s">
        <v>36</v>
      </c>
      <c r="Q722">
        <v>350.17799000000002</v>
      </c>
    </row>
    <row r="723" spans="13:17" x14ac:dyDescent="0.25">
      <c r="M723">
        <v>2019</v>
      </c>
      <c r="N723" t="s">
        <v>3</v>
      </c>
      <c r="O723" t="s">
        <v>58</v>
      </c>
      <c r="P723" t="s">
        <v>36</v>
      </c>
      <c r="Q723">
        <v>744.79082000000005</v>
      </c>
    </row>
    <row r="724" spans="13:17" x14ac:dyDescent="0.25">
      <c r="M724">
        <v>2020</v>
      </c>
      <c r="N724" t="s">
        <v>3</v>
      </c>
      <c r="O724" t="s">
        <v>58</v>
      </c>
      <c r="P724" t="s">
        <v>36</v>
      </c>
      <c r="Q724">
        <v>657.08456000000001</v>
      </c>
    </row>
    <row r="725" spans="13:17" x14ac:dyDescent="0.25">
      <c r="M725">
        <v>2021</v>
      </c>
      <c r="N725" t="s">
        <v>3</v>
      </c>
      <c r="O725" t="s">
        <v>58</v>
      </c>
      <c r="P725" t="s">
        <v>36</v>
      </c>
      <c r="Q725">
        <v>685.51244999999994</v>
      </c>
    </row>
    <row r="726" spans="13:17" x14ac:dyDescent="0.25">
      <c r="M726">
        <v>2022</v>
      </c>
      <c r="N726" t="s">
        <v>3</v>
      </c>
      <c r="O726" t="s">
        <v>58</v>
      </c>
      <c r="P726" t="s">
        <v>36</v>
      </c>
      <c r="Q726">
        <v>370.62200000000001</v>
      </c>
    </row>
    <row r="727" spans="13:17" x14ac:dyDescent="0.25">
      <c r="M727">
        <v>2023</v>
      </c>
      <c r="N727" t="s">
        <v>3</v>
      </c>
      <c r="O727" t="s">
        <v>58</v>
      </c>
      <c r="P727" t="s">
        <v>36</v>
      </c>
      <c r="Q727">
        <v>444.04953999999998</v>
      </c>
    </row>
    <row r="728" spans="13:17" x14ac:dyDescent="0.25">
      <c r="M728">
        <v>2024</v>
      </c>
      <c r="N728" t="s">
        <v>3</v>
      </c>
      <c r="O728" t="s">
        <v>58</v>
      </c>
      <c r="P728" t="s">
        <v>36</v>
      </c>
      <c r="Q728">
        <v>500.95114000000001</v>
      </c>
    </row>
    <row r="729" spans="13:17" x14ac:dyDescent="0.25">
      <c r="M729">
        <v>1968</v>
      </c>
      <c r="N729" t="s">
        <v>1</v>
      </c>
      <c r="O729" t="s">
        <v>58</v>
      </c>
      <c r="P729" t="s">
        <v>36</v>
      </c>
      <c r="Q729">
        <v>1373.96</v>
      </c>
    </row>
    <row r="730" spans="13:17" x14ac:dyDescent="0.25">
      <c r="M730">
        <v>1969</v>
      </c>
      <c r="N730" t="s">
        <v>1</v>
      </c>
      <c r="O730" t="s">
        <v>58</v>
      </c>
      <c r="P730" t="s">
        <v>36</v>
      </c>
      <c r="Q730">
        <v>1962.8</v>
      </c>
    </row>
    <row r="731" spans="13:17" x14ac:dyDescent="0.25">
      <c r="M731">
        <v>1970</v>
      </c>
      <c r="N731" t="s">
        <v>1</v>
      </c>
      <c r="O731" t="s">
        <v>58</v>
      </c>
      <c r="P731" t="s">
        <v>36</v>
      </c>
      <c r="Q731">
        <v>1766.52</v>
      </c>
    </row>
    <row r="732" spans="13:17" x14ac:dyDescent="0.25">
      <c r="M732">
        <v>1971</v>
      </c>
      <c r="N732" t="s">
        <v>1</v>
      </c>
      <c r="O732" t="s">
        <v>58</v>
      </c>
      <c r="P732" t="s">
        <v>36</v>
      </c>
      <c r="Q732">
        <v>2846.06</v>
      </c>
    </row>
    <row r="733" spans="13:17" x14ac:dyDescent="0.25">
      <c r="M733">
        <v>1972</v>
      </c>
      <c r="N733" t="s">
        <v>1</v>
      </c>
      <c r="O733" t="s">
        <v>58</v>
      </c>
      <c r="P733" t="s">
        <v>36</v>
      </c>
      <c r="Q733">
        <v>3631.18</v>
      </c>
    </row>
    <row r="734" spans="13:17" x14ac:dyDescent="0.25">
      <c r="M734">
        <v>1973</v>
      </c>
      <c r="N734" t="s">
        <v>1</v>
      </c>
      <c r="O734" t="s">
        <v>58</v>
      </c>
      <c r="P734" t="s">
        <v>36</v>
      </c>
      <c r="Q734">
        <v>2747.92</v>
      </c>
    </row>
    <row r="735" spans="13:17" x14ac:dyDescent="0.25">
      <c r="M735">
        <v>1974</v>
      </c>
      <c r="N735" t="s">
        <v>1</v>
      </c>
      <c r="O735" t="s">
        <v>58</v>
      </c>
      <c r="P735" t="s">
        <v>36</v>
      </c>
      <c r="Q735">
        <v>3268.413</v>
      </c>
    </row>
    <row r="736" spans="13:17" x14ac:dyDescent="0.25">
      <c r="M736">
        <v>1975</v>
      </c>
      <c r="N736" t="s">
        <v>1</v>
      </c>
      <c r="O736" t="s">
        <v>58</v>
      </c>
      <c r="P736" t="s">
        <v>36</v>
      </c>
      <c r="Q736">
        <v>2945.953</v>
      </c>
    </row>
    <row r="737" spans="13:17" x14ac:dyDescent="0.25">
      <c r="M737">
        <v>1976</v>
      </c>
      <c r="N737" t="s">
        <v>1</v>
      </c>
      <c r="O737" t="s">
        <v>58</v>
      </c>
      <c r="P737" t="s">
        <v>36</v>
      </c>
      <c r="Q737">
        <v>3435</v>
      </c>
    </row>
    <row r="738" spans="13:17" x14ac:dyDescent="0.25">
      <c r="M738">
        <v>1977</v>
      </c>
      <c r="N738" t="s">
        <v>1</v>
      </c>
      <c r="O738" t="s">
        <v>58</v>
      </c>
      <c r="P738" t="s">
        <v>36</v>
      </c>
      <c r="Q738">
        <v>3330</v>
      </c>
    </row>
    <row r="739" spans="13:17" x14ac:dyDescent="0.25">
      <c r="M739">
        <v>1978</v>
      </c>
      <c r="N739" t="s">
        <v>1</v>
      </c>
      <c r="O739" t="s">
        <v>58</v>
      </c>
      <c r="P739" t="s">
        <v>36</v>
      </c>
      <c r="Q739">
        <v>3750</v>
      </c>
    </row>
    <row r="740" spans="13:17" x14ac:dyDescent="0.25">
      <c r="M740">
        <v>1979</v>
      </c>
      <c r="N740" t="s">
        <v>1</v>
      </c>
      <c r="O740" t="s">
        <v>58</v>
      </c>
      <c r="P740" t="s">
        <v>36</v>
      </c>
      <c r="Q740">
        <v>3455</v>
      </c>
    </row>
    <row r="741" spans="13:17" x14ac:dyDescent="0.25">
      <c r="M741">
        <v>1980</v>
      </c>
      <c r="N741" t="s">
        <v>1</v>
      </c>
      <c r="O741" t="s">
        <v>58</v>
      </c>
      <c r="P741" t="s">
        <v>36</v>
      </c>
      <c r="Q741">
        <v>3642</v>
      </c>
    </row>
    <row r="742" spans="13:17" x14ac:dyDescent="0.25">
      <c r="M742">
        <v>1981</v>
      </c>
      <c r="N742" t="s">
        <v>1</v>
      </c>
      <c r="O742" t="s">
        <v>58</v>
      </c>
      <c r="P742" t="s">
        <v>36</v>
      </c>
      <c r="Q742">
        <v>3362</v>
      </c>
    </row>
    <row r="743" spans="13:17" x14ac:dyDescent="0.25">
      <c r="M743">
        <v>1982</v>
      </c>
      <c r="N743" t="s">
        <v>1</v>
      </c>
      <c r="O743" t="s">
        <v>58</v>
      </c>
      <c r="P743" t="s">
        <v>36</v>
      </c>
      <c r="Q743">
        <v>2583</v>
      </c>
    </row>
    <row r="744" spans="13:17" x14ac:dyDescent="0.25">
      <c r="M744">
        <v>1983</v>
      </c>
      <c r="N744" t="s">
        <v>1</v>
      </c>
      <c r="O744" t="s">
        <v>58</v>
      </c>
      <c r="P744" t="s">
        <v>36</v>
      </c>
      <c r="Q744">
        <v>2660</v>
      </c>
    </row>
    <row r="745" spans="13:17" x14ac:dyDescent="0.25">
      <c r="M745">
        <v>1984</v>
      </c>
      <c r="N745" t="s">
        <v>1</v>
      </c>
      <c r="O745" t="s">
        <v>58</v>
      </c>
      <c r="P745" t="s">
        <v>36</v>
      </c>
      <c r="Q745">
        <v>2719.0178999999998</v>
      </c>
    </row>
    <row r="746" spans="13:17" x14ac:dyDescent="0.25">
      <c r="M746">
        <v>1985</v>
      </c>
      <c r="N746" t="s">
        <v>1</v>
      </c>
      <c r="O746" t="s">
        <v>58</v>
      </c>
      <c r="P746" t="s">
        <v>36</v>
      </c>
      <c r="Q746">
        <v>3169.4832999999999</v>
      </c>
    </row>
    <row r="747" spans="13:17" x14ac:dyDescent="0.25">
      <c r="M747">
        <v>1986</v>
      </c>
      <c r="N747" t="s">
        <v>1</v>
      </c>
      <c r="O747" t="s">
        <v>58</v>
      </c>
      <c r="P747" t="s">
        <v>36</v>
      </c>
      <c r="Q747">
        <v>3283.3314999999998</v>
      </c>
    </row>
    <row r="748" spans="13:17" x14ac:dyDescent="0.25">
      <c r="M748">
        <v>1987</v>
      </c>
      <c r="N748" t="s">
        <v>1</v>
      </c>
      <c r="O748" t="s">
        <v>58</v>
      </c>
      <c r="P748" t="s">
        <v>36</v>
      </c>
      <c r="Q748">
        <v>3600.1037000000001</v>
      </c>
    </row>
    <row r="749" spans="13:17" x14ac:dyDescent="0.25">
      <c r="M749">
        <v>1988</v>
      </c>
      <c r="N749" t="s">
        <v>1</v>
      </c>
      <c r="O749" t="s">
        <v>58</v>
      </c>
      <c r="P749" t="s">
        <v>36</v>
      </c>
      <c r="Q749">
        <v>3762.5079999999998</v>
      </c>
    </row>
    <row r="750" spans="13:17" x14ac:dyDescent="0.25">
      <c r="M750">
        <v>1989</v>
      </c>
      <c r="N750" t="s">
        <v>1</v>
      </c>
      <c r="O750" t="s">
        <v>58</v>
      </c>
      <c r="P750" t="s">
        <v>36</v>
      </c>
      <c r="Q750">
        <v>3799.2424999999998</v>
      </c>
    </row>
    <row r="751" spans="13:17" x14ac:dyDescent="0.25">
      <c r="M751">
        <v>1990</v>
      </c>
      <c r="N751" t="s">
        <v>1</v>
      </c>
      <c r="O751" t="s">
        <v>58</v>
      </c>
      <c r="P751" t="s">
        <v>36</v>
      </c>
      <c r="Q751">
        <v>2616.518</v>
      </c>
    </row>
    <row r="752" spans="13:17" x14ac:dyDescent="0.25">
      <c r="M752">
        <v>1991</v>
      </c>
      <c r="N752" t="s">
        <v>1</v>
      </c>
      <c r="O752" t="s">
        <v>58</v>
      </c>
      <c r="P752" t="s">
        <v>36</v>
      </c>
      <c r="Q752">
        <v>2442.1563000000001</v>
      </c>
    </row>
    <row r="753" spans="13:17" x14ac:dyDescent="0.25">
      <c r="M753">
        <v>1992</v>
      </c>
      <c r="N753" t="s">
        <v>1</v>
      </c>
      <c r="O753" t="s">
        <v>58</v>
      </c>
      <c r="P753" t="s">
        <v>36</v>
      </c>
      <c r="Q753">
        <v>3518</v>
      </c>
    </row>
    <row r="754" spans="13:17" x14ac:dyDescent="0.25">
      <c r="M754">
        <v>1993</v>
      </c>
      <c r="N754" t="s">
        <v>1</v>
      </c>
      <c r="O754" t="s">
        <v>58</v>
      </c>
      <c r="P754" t="s">
        <v>36</v>
      </c>
      <c r="Q754">
        <v>3260</v>
      </c>
    </row>
    <row r="755" spans="13:17" x14ac:dyDescent="0.25">
      <c r="M755">
        <v>1994</v>
      </c>
      <c r="N755" t="s">
        <v>1</v>
      </c>
      <c r="O755" t="s">
        <v>58</v>
      </c>
      <c r="P755" t="s">
        <v>36</v>
      </c>
      <c r="Q755">
        <v>3844</v>
      </c>
    </row>
    <row r="756" spans="13:17" x14ac:dyDescent="0.25">
      <c r="M756">
        <v>1995</v>
      </c>
      <c r="N756" t="s">
        <v>1</v>
      </c>
      <c r="O756" t="s">
        <v>58</v>
      </c>
      <c r="P756" t="s">
        <v>36</v>
      </c>
      <c r="Q756">
        <v>3035</v>
      </c>
    </row>
    <row r="757" spans="13:17" x14ac:dyDescent="0.25">
      <c r="M757">
        <v>1996</v>
      </c>
      <c r="N757" t="s">
        <v>1</v>
      </c>
      <c r="O757" t="s">
        <v>58</v>
      </c>
      <c r="P757" t="s">
        <v>36</v>
      </c>
      <c r="Q757">
        <v>2617</v>
      </c>
    </row>
    <row r="758" spans="13:17" x14ac:dyDescent="0.25">
      <c r="M758">
        <v>1997</v>
      </c>
      <c r="N758" t="s">
        <v>1</v>
      </c>
      <c r="O758" t="s">
        <v>58</v>
      </c>
      <c r="P758" t="s">
        <v>36</v>
      </c>
      <c r="Q758">
        <v>2458</v>
      </c>
    </row>
    <row r="759" spans="13:17" x14ac:dyDescent="0.25">
      <c r="M759">
        <v>1998</v>
      </c>
      <c r="N759" t="s">
        <v>1</v>
      </c>
      <c r="O759" t="s">
        <v>58</v>
      </c>
      <c r="P759" t="s">
        <v>36</v>
      </c>
      <c r="Q759">
        <v>2458</v>
      </c>
    </row>
    <row r="760" spans="13:17" x14ac:dyDescent="0.25">
      <c r="M760">
        <v>1999</v>
      </c>
      <c r="N760" t="s">
        <v>1</v>
      </c>
      <c r="O760" t="s">
        <v>58</v>
      </c>
      <c r="P760" t="s">
        <v>36</v>
      </c>
      <c r="Q760">
        <v>2680</v>
      </c>
    </row>
    <row r="761" spans="13:17" x14ac:dyDescent="0.25">
      <c r="M761">
        <v>2000</v>
      </c>
      <c r="N761" t="s">
        <v>1</v>
      </c>
      <c r="O761" t="s">
        <v>58</v>
      </c>
      <c r="P761" t="s">
        <v>36</v>
      </c>
      <c r="Q761">
        <v>2639</v>
      </c>
    </row>
    <row r="762" spans="13:17" x14ac:dyDescent="0.25">
      <c r="M762">
        <v>2001</v>
      </c>
      <c r="N762" t="s">
        <v>1</v>
      </c>
      <c r="O762" t="s">
        <v>58</v>
      </c>
      <c r="P762" t="s">
        <v>36</v>
      </c>
      <c r="Q762">
        <v>2236</v>
      </c>
    </row>
    <row r="763" spans="13:17" x14ac:dyDescent="0.25">
      <c r="M763">
        <v>2002</v>
      </c>
      <c r="N763" t="s">
        <v>1</v>
      </c>
      <c r="O763" t="s">
        <v>58</v>
      </c>
      <c r="P763" t="s">
        <v>36</v>
      </c>
      <c r="Q763">
        <v>1841</v>
      </c>
    </row>
    <row r="764" spans="13:17" x14ac:dyDescent="0.25">
      <c r="M764">
        <v>2003</v>
      </c>
      <c r="N764" t="s">
        <v>1</v>
      </c>
      <c r="O764" t="s">
        <v>58</v>
      </c>
      <c r="P764" t="s">
        <v>36</v>
      </c>
      <c r="Q764">
        <v>5844.23</v>
      </c>
    </row>
    <row r="765" spans="13:17" x14ac:dyDescent="0.25">
      <c r="M765">
        <v>2004</v>
      </c>
      <c r="N765" t="s">
        <v>1</v>
      </c>
      <c r="O765" t="s">
        <v>58</v>
      </c>
      <c r="P765" t="s">
        <v>36</v>
      </c>
      <c r="Q765">
        <v>5451.57</v>
      </c>
    </row>
    <row r="766" spans="13:17" x14ac:dyDescent="0.25">
      <c r="M766">
        <v>2005</v>
      </c>
      <c r="N766" t="s">
        <v>1</v>
      </c>
      <c r="O766" t="s">
        <v>58</v>
      </c>
      <c r="P766" t="s">
        <v>36</v>
      </c>
      <c r="Q766">
        <v>5559.76</v>
      </c>
    </row>
    <row r="767" spans="13:17" x14ac:dyDescent="0.25">
      <c r="M767">
        <v>2006</v>
      </c>
      <c r="N767" t="s">
        <v>1</v>
      </c>
      <c r="O767" t="s">
        <v>58</v>
      </c>
      <c r="P767" t="s">
        <v>36</v>
      </c>
      <c r="Q767">
        <v>5253</v>
      </c>
    </row>
    <row r="768" spans="13:17" x14ac:dyDescent="0.25">
      <c r="M768">
        <v>2007</v>
      </c>
      <c r="N768" t="s">
        <v>1</v>
      </c>
      <c r="O768" t="s">
        <v>58</v>
      </c>
      <c r="P768" t="s">
        <v>36</v>
      </c>
      <c r="Q768">
        <v>4563.68</v>
      </c>
    </row>
    <row r="769" spans="13:17" x14ac:dyDescent="0.25">
      <c r="M769">
        <v>2008</v>
      </c>
      <c r="N769" t="s">
        <v>1</v>
      </c>
      <c r="O769" t="s">
        <v>58</v>
      </c>
      <c r="P769" t="s">
        <v>36</v>
      </c>
      <c r="Q769">
        <v>4521.2118799999998</v>
      </c>
    </row>
    <row r="770" spans="13:17" x14ac:dyDescent="0.25">
      <c r="M770">
        <v>2009</v>
      </c>
      <c r="N770" t="s">
        <v>1</v>
      </c>
      <c r="O770" t="s">
        <v>58</v>
      </c>
      <c r="P770" t="s">
        <v>36</v>
      </c>
      <c r="Q770">
        <v>4686.5996999999998</v>
      </c>
    </row>
    <row r="771" spans="13:17" x14ac:dyDescent="0.25">
      <c r="M771">
        <v>2010</v>
      </c>
      <c r="N771" t="s">
        <v>1</v>
      </c>
      <c r="O771" t="s">
        <v>58</v>
      </c>
      <c r="P771" t="s">
        <v>36</v>
      </c>
      <c r="Q771">
        <v>5101.2962600000001</v>
      </c>
    </row>
    <row r="772" spans="13:17" x14ac:dyDescent="0.25">
      <c r="M772">
        <v>2011</v>
      </c>
      <c r="N772" t="s">
        <v>1</v>
      </c>
      <c r="O772" t="s">
        <v>58</v>
      </c>
      <c r="P772" t="s">
        <v>36</v>
      </c>
      <c r="Q772">
        <v>4579.1946399999997</v>
      </c>
    </row>
    <row r="773" spans="13:17" x14ac:dyDescent="0.25">
      <c r="M773">
        <v>2012</v>
      </c>
      <c r="N773" t="s">
        <v>1</v>
      </c>
      <c r="O773" t="s">
        <v>58</v>
      </c>
      <c r="P773" t="s">
        <v>36</v>
      </c>
      <c r="Q773">
        <v>3856.3470390000002</v>
      </c>
    </row>
    <row r="774" spans="13:17" x14ac:dyDescent="0.25">
      <c r="M774">
        <v>2013</v>
      </c>
      <c r="N774" t="s">
        <v>1</v>
      </c>
      <c r="O774" t="s">
        <v>58</v>
      </c>
      <c r="P774" t="s">
        <v>36</v>
      </c>
      <c r="Q774">
        <v>2847.6283509999998</v>
      </c>
    </row>
    <row r="775" spans="13:17" x14ac:dyDescent="0.25">
      <c r="M775">
        <v>2014</v>
      </c>
      <c r="N775" t="s">
        <v>1</v>
      </c>
      <c r="O775" t="s">
        <v>58</v>
      </c>
      <c r="P775" t="s">
        <v>36</v>
      </c>
      <c r="Q775">
        <v>3383.5207999999998</v>
      </c>
    </row>
    <row r="776" spans="13:17" x14ac:dyDescent="0.25">
      <c r="M776">
        <v>2015</v>
      </c>
      <c r="N776" t="s">
        <v>1</v>
      </c>
      <c r="O776" t="s">
        <v>58</v>
      </c>
      <c r="P776" t="s">
        <v>36</v>
      </c>
      <c r="Q776">
        <v>4213.2501000000002</v>
      </c>
    </row>
    <row r="777" spans="13:17" x14ac:dyDescent="0.25">
      <c r="M777">
        <v>2016</v>
      </c>
      <c r="N777" t="s">
        <v>1</v>
      </c>
      <c r="O777" t="s">
        <v>58</v>
      </c>
      <c r="P777" t="s">
        <v>36</v>
      </c>
      <c r="Q777">
        <v>3916.9993800000002</v>
      </c>
    </row>
    <row r="778" spans="13:17" x14ac:dyDescent="0.25">
      <c r="M778">
        <v>2017</v>
      </c>
      <c r="N778" t="s">
        <v>1</v>
      </c>
      <c r="O778" t="s">
        <v>58</v>
      </c>
      <c r="P778" t="s">
        <v>36</v>
      </c>
      <c r="Q778">
        <v>2974.4026600000002</v>
      </c>
    </row>
    <row r="779" spans="13:17" x14ac:dyDescent="0.25">
      <c r="M779">
        <v>2018</v>
      </c>
      <c r="N779" t="s">
        <v>1</v>
      </c>
      <c r="O779" t="s">
        <v>58</v>
      </c>
      <c r="P779" t="s">
        <v>36</v>
      </c>
      <c r="Q779">
        <v>1753.5836200000001</v>
      </c>
    </row>
    <row r="780" spans="13:17" x14ac:dyDescent="0.25">
      <c r="M780">
        <v>2019</v>
      </c>
      <c r="N780" t="s">
        <v>1</v>
      </c>
      <c r="O780" t="s">
        <v>58</v>
      </c>
      <c r="P780" t="s">
        <v>36</v>
      </c>
      <c r="Q780">
        <v>2460.9859999999999</v>
      </c>
    </row>
    <row r="781" spans="13:17" x14ac:dyDescent="0.25">
      <c r="M781">
        <v>2020</v>
      </c>
      <c r="N781" t="s">
        <v>1</v>
      </c>
      <c r="O781" t="s">
        <v>58</v>
      </c>
      <c r="P781" t="s">
        <v>36</v>
      </c>
      <c r="Q781">
        <v>2231.3219800000002</v>
      </c>
    </row>
    <row r="782" spans="13:17" x14ac:dyDescent="0.25">
      <c r="M782">
        <v>2021</v>
      </c>
      <c r="N782" t="s">
        <v>1</v>
      </c>
      <c r="O782" t="s">
        <v>58</v>
      </c>
      <c r="P782" t="s">
        <v>36</v>
      </c>
      <c r="Q782">
        <v>1998.4359999999999</v>
      </c>
    </row>
    <row r="783" spans="13:17" x14ac:dyDescent="0.25">
      <c r="M783">
        <v>2022</v>
      </c>
      <c r="N783" t="s">
        <v>1</v>
      </c>
      <c r="O783" t="s">
        <v>58</v>
      </c>
      <c r="P783" t="s">
        <v>36</v>
      </c>
      <c r="Q783">
        <v>2038.23</v>
      </c>
    </row>
    <row r="784" spans="13:17" x14ac:dyDescent="0.25">
      <c r="M784">
        <v>2023</v>
      </c>
      <c r="N784" t="s">
        <v>1</v>
      </c>
      <c r="O784" t="s">
        <v>58</v>
      </c>
      <c r="P784" t="s">
        <v>36</v>
      </c>
      <c r="Q784">
        <v>2297.46</v>
      </c>
    </row>
    <row r="785" spans="13:17" x14ac:dyDescent="0.25">
      <c r="M785">
        <v>2024</v>
      </c>
      <c r="N785" t="s">
        <v>1</v>
      </c>
      <c r="O785" t="s">
        <v>58</v>
      </c>
      <c r="P785" t="s">
        <v>36</v>
      </c>
      <c r="Q785">
        <v>3066.2249999999999</v>
      </c>
    </row>
    <row r="786" spans="13:17" x14ac:dyDescent="0.25">
      <c r="M786">
        <v>1970</v>
      </c>
      <c r="N786" t="s">
        <v>7</v>
      </c>
      <c r="O786" t="s">
        <v>58</v>
      </c>
      <c r="P786" t="s">
        <v>36</v>
      </c>
      <c r="Q786">
        <v>112</v>
      </c>
    </row>
    <row r="787" spans="13:17" x14ac:dyDescent="0.25">
      <c r="M787">
        <v>1971</v>
      </c>
      <c r="N787" t="s">
        <v>7</v>
      </c>
      <c r="O787" t="s">
        <v>58</v>
      </c>
      <c r="P787" t="s">
        <v>36</v>
      </c>
      <c r="Q787">
        <v>224</v>
      </c>
    </row>
    <row r="788" spans="13:17" x14ac:dyDescent="0.25">
      <c r="M788">
        <v>1972</v>
      </c>
      <c r="N788" t="s">
        <v>7</v>
      </c>
      <c r="O788" t="s">
        <v>58</v>
      </c>
      <c r="P788" t="s">
        <v>36</v>
      </c>
      <c r="Q788">
        <v>224</v>
      </c>
    </row>
    <row r="789" spans="13:17" x14ac:dyDescent="0.25">
      <c r="M789">
        <v>1973</v>
      </c>
      <c r="N789" t="s">
        <v>7</v>
      </c>
      <c r="O789" t="s">
        <v>58</v>
      </c>
      <c r="P789" t="s">
        <v>36</v>
      </c>
      <c r="Q789">
        <v>224</v>
      </c>
    </row>
    <row r="790" spans="13:17" x14ac:dyDescent="0.25">
      <c r="M790">
        <v>1974</v>
      </c>
      <c r="N790" t="s">
        <v>7</v>
      </c>
      <c r="O790" t="s">
        <v>58</v>
      </c>
      <c r="P790" t="s">
        <v>36</v>
      </c>
      <c r="Q790">
        <v>192</v>
      </c>
    </row>
    <row r="791" spans="13:17" x14ac:dyDescent="0.25">
      <c r="M791">
        <v>1975</v>
      </c>
      <c r="N791" t="s">
        <v>7</v>
      </c>
      <c r="O791" t="s">
        <v>58</v>
      </c>
      <c r="P791" t="s">
        <v>36</v>
      </c>
      <c r="Q791">
        <v>214</v>
      </c>
    </row>
    <row r="792" spans="13:17" x14ac:dyDescent="0.25">
      <c r="M792">
        <v>1976</v>
      </c>
      <c r="N792" t="s">
        <v>7</v>
      </c>
      <c r="O792" t="s">
        <v>58</v>
      </c>
      <c r="P792" t="s">
        <v>36</v>
      </c>
      <c r="Q792">
        <v>175</v>
      </c>
    </row>
    <row r="793" spans="13:17" x14ac:dyDescent="0.25">
      <c r="M793">
        <v>1977</v>
      </c>
      <c r="N793" t="s">
        <v>7</v>
      </c>
      <c r="O793" t="s">
        <v>58</v>
      </c>
      <c r="P793" t="s">
        <v>36</v>
      </c>
      <c r="Q793">
        <v>223</v>
      </c>
    </row>
    <row r="794" spans="13:17" x14ac:dyDescent="0.25">
      <c r="M794">
        <v>1978</v>
      </c>
      <c r="N794" t="s">
        <v>7</v>
      </c>
      <c r="O794" t="s">
        <v>58</v>
      </c>
      <c r="P794" t="s">
        <v>36</v>
      </c>
      <c r="Q794">
        <v>136</v>
      </c>
    </row>
    <row r="795" spans="13:17" x14ac:dyDescent="0.25">
      <c r="M795">
        <v>1979</v>
      </c>
      <c r="N795" t="s">
        <v>7</v>
      </c>
      <c r="O795" t="s">
        <v>58</v>
      </c>
      <c r="P795" t="s">
        <v>36</v>
      </c>
      <c r="Q795">
        <v>151</v>
      </c>
    </row>
    <row r="796" spans="13:17" x14ac:dyDescent="0.25">
      <c r="M796">
        <v>1980</v>
      </c>
      <c r="N796" t="s">
        <v>7</v>
      </c>
      <c r="O796" t="s">
        <v>58</v>
      </c>
      <c r="P796" t="s">
        <v>36</v>
      </c>
      <c r="Q796">
        <v>222</v>
      </c>
    </row>
    <row r="797" spans="13:17" x14ac:dyDescent="0.25">
      <c r="M797">
        <v>1981</v>
      </c>
      <c r="N797" t="s">
        <v>7</v>
      </c>
      <c r="O797" t="s">
        <v>58</v>
      </c>
      <c r="P797" t="s">
        <v>36</v>
      </c>
      <c r="Q797">
        <v>192</v>
      </c>
    </row>
    <row r="798" spans="13:17" x14ac:dyDescent="0.25">
      <c r="M798">
        <v>1982</v>
      </c>
      <c r="N798" t="s">
        <v>7</v>
      </c>
      <c r="O798" t="s">
        <v>58</v>
      </c>
      <c r="P798" t="s">
        <v>36</v>
      </c>
      <c r="Q798">
        <v>177</v>
      </c>
    </row>
    <row r="799" spans="13:17" x14ac:dyDescent="0.25">
      <c r="M799">
        <v>1983</v>
      </c>
      <c r="N799" t="s">
        <v>7</v>
      </c>
      <c r="O799" t="s">
        <v>58</v>
      </c>
      <c r="P799" t="s">
        <v>36</v>
      </c>
      <c r="Q799">
        <v>59.375999999999998</v>
      </c>
    </row>
    <row r="800" spans="13:17" x14ac:dyDescent="0.25">
      <c r="M800">
        <v>1984</v>
      </c>
      <c r="N800" t="s">
        <v>7</v>
      </c>
      <c r="O800" t="s">
        <v>58</v>
      </c>
      <c r="P800" t="s">
        <v>36</v>
      </c>
      <c r="Q800">
        <v>93.576999999999998</v>
      </c>
    </row>
    <row r="801" spans="13:17" x14ac:dyDescent="0.25">
      <c r="M801">
        <v>1985</v>
      </c>
      <c r="N801" t="s">
        <v>7</v>
      </c>
      <c r="O801" t="s">
        <v>58</v>
      </c>
      <c r="P801" t="s">
        <v>36</v>
      </c>
      <c r="Q801">
        <v>171.964</v>
      </c>
    </row>
    <row r="802" spans="13:17" x14ac:dyDescent="0.25">
      <c r="M802">
        <v>1986</v>
      </c>
      <c r="N802" t="s">
        <v>7</v>
      </c>
      <c r="O802" t="s">
        <v>58</v>
      </c>
      <c r="P802" t="s">
        <v>36</v>
      </c>
      <c r="Q802">
        <v>143.86000000000001</v>
      </c>
    </row>
    <row r="803" spans="13:17" x14ac:dyDescent="0.25">
      <c r="M803">
        <v>1987</v>
      </c>
      <c r="N803" t="s">
        <v>7</v>
      </c>
      <c r="O803" t="s">
        <v>58</v>
      </c>
      <c r="P803" t="s">
        <v>36</v>
      </c>
      <c r="Q803">
        <v>163.01</v>
      </c>
    </row>
    <row r="804" spans="13:17" x14ac:dyDescent="0.25">
      <c r="M804">
        <v>1988</v>
      </c>
      <c r="N804" t="s">
        <v>7</v>
      </c>
      <c r="O804" t="s">
        <v>58</v>
      </c>
      <c r="P804" t="s">
        <v>36</v>
      </c>
      <c r="Q804">
        <v>233.376</v>
      </c>
    </row>
    <row r="805" spans="13:17" x14ac:dyDescent="0.25">
      <c r="M805">
        <v>1989</v>
      </c>
      <c r="N805" t="s">
        <v>7</v>
      </c>
      <c r="O805" t="s">
        <v>58</v>
      </c>
      <c r="P805" t="s">
        <v>36</v>
      </c>
      <c r="Q805">
        <v>121.89100000000001</v>
      </c>
    </row>
    <row r="806" spans="13:17" x14ac:dyDescent="0.25">
      <c r="M806">
        <v>1990</v>
      </c>
      <c r="N806" t="s">
        <v>7</v>
      </c>
      <c r="O806" t="s">
        <v>58</v>
      </c>
      <c r="P806" t="s">
        <v>36</v>
      </c>
      <c r="Q806">
        <v>134.50399999999999</v>
      </c>
    </row>
    <row r="807" spans="13:17" x14ac:dyDescent="0.25">
      <c r="M807">
        <v>1991</v>
      </c>
      <c r="N807" t="s">
        <v>7</v>
      </c>
      <c r="O807" t="s">
        <v>58</v>
      </c>
      <c r="P807" t="s">
        <v>36</v>
      </c>
      <c r="Q807">
        <v>129.27699999999999</v>
      </c>
    </row>
    <row r="808" spans="13:17" x14ac:dyDescent="0.25">
      <c r="M808">
        <v>1992</v>
      </c>
      <c r="N808" t="s">
        <v>7</v>
      </c>
      <c r="O808" t="s">
        <v>58</v>
      </c>
      <c r="P808" t="s">
        <v>36</v>
      </c>
      <c r="Q808">
        <v>85.218999999999994</v>
      </c>
    </row>
    <row r="809" spans="13:17" x14ac:dyDescent="0.25">
      <c r="M809">
        <v>1993</v>
      </c>
      <c r="N809" t="s">
        <v>7</v>
      </c>
      <c r="O809" t="s">
        <v>58</v>
      </c>
      <c r="P809" t="s">
        <v>36</v>
      </c>
      <c r="Q809">
        <v>90.866</v>
      </c>
    </row>
    <row r="810" spans="13:17" x14ac:dyDescent="0.25">
      <c r="M810">
        <v>1994</v>
      </c>
      <c r="N810" t="s">
        <v>7</v>
      </c>
      <c r="O810" t="s">
        <v>58</v>
      </c>
      <c r="P810" t="s">
        <v>36</v>
      </c>
      <c r="Q810">
        <v>47.213999999999999</v>
      </c>
    </row>
    <row r="811" spans="13:17" x14ac:dyDescent="0.25">
      <c r="M811">
        <v>1995</v>
      </c>
      <c r="N811" t="s">
        <v>7</v>
      </c>
      <c r="O811" t="s">
        <v>58</v>
      </c>
      <c r="P811" t="s">
        <v>36</v>
      </c>
      <c r="Q811">
        <v>71.707999999999998</v>
      </c>
    </row>
    <row r="812" spans="13:17" x14ac:dyDescent="0.25">
      <c r="M812">
        <v>1996</v>
      </c>
      <c r="N812" t="s">
        <v>7</v>
      </c>
      <c r="O812" t="s">
        <v>58</v>
      </c>
      <c r="P812" t="s">
        <v>36</v>
      </c>
      <c r="Q812">
        <v>71.811000000000007</v>
      </c>
    </row>
    <row r="813" spans="13:17" x14ac:dyDescent="0.25">
      <c r="M813">
        <v>1997</v>
      </c>
      <c r="N813" t="s">
        <v>7</v>
      </c>
      <c r="O813" t="s">
        <v>58</v>
      </c>
      <c r="P813" t="s">
        <v>36</v>
      </c>
      <c r="Q813">
        <v>100.346</v>
      </c>
    </row>
    <row r="814" spans="13:17" x14ac:dyDescent="0.25">
      <c r="M814">
        <v>1998</v>
      </c>
      <c r="N814" t="s">
        <v>7</v>
      </c>
      <c r="O814" t="s">
        <v>58</v>
      </c>
      <c r="P814" t="s">
        <v>36</v>
      </c>
      <c r="Q814">
        <v>152.86500000000001</v>
      </c>
    </row>
    <row r="815" spans="13:17" x14ac:dyDescent="0.25">
      <c r="M815">
        <v>1999</v>
      </c>
      <c r="N815" t="s">
        <v>7</v>
      </c>
      <c r="O815" t="s">
        <v>58</v>
      </c>
      <c r="P815" t="s">
        <v>36</v>
      </c>
      <c r="Q815">
        <v>186.93700000000001</v>
      </c>
    </row>
    <row r="816" spans="13:17" x14ac:dyDescent="0.25">
      <c r="M816">
        <v>2000</v>
      </c>
      <c r="N816" t="s">
        <v>7</v>
      </c>
      <c r="O816" t="s">
        <v>58</v>
      </c>
      <c r="P816" t="s">
        <v>36</v>
      </c>
      <c r="Q816">
        <v>175.24199999999999</v>
      </c>
    </row>
    <row r="817" spans="13:17" x14ac:dyDescent="0.25">
      <c r="M817">
        <v>2001</v>
      </c>
      <c r="N817" t="s">
        <v>7</v>
      </c>
      <c r="O817" t="s">
        <v>58</v>
      </c>
      <c r="P817" t="s">
        <v>36</v>
      </c>
      <c r="Q817">
        <v>101.581</v>
      </c>
    </row>
    <row r="818" spans="13:17" x14ac:dyDescent="0.25">
      <c r="M818">
        <v>2002</v>
      </c>
      <c r="N818" t="s">
        <v>7</v>
      </c>
      <c r="O818" t="s">
        <v>58</v>
      </c>
      <c r="P818" t="s">
        <v>36</v>
      </c>
      <c r="Q818">
        <v>257</v>
      </c>
    </row>
    <row r="819" spans="13:17" x14ac:dyDescent="0.25">
      <c r="M819">
        <v>2003</v>
      </c>
      <c r="N819" t="s">
        <v>7</v>
      </c>
      <c r="O819" t="s">
        <v>58</v>
      </c>
      <c r="P819" t="s">
        <v>36</v>
      </c>
      <c r="Q819">
        <v>162.51599999999999</v>
      </c>
    </row>
    <row r="820" spans="13:17" x14ac:dyDescent="0.25">
      <c r="M820">
        <v>2004</v>
      </c>
      <c r="N820" t="s">
        <v>7</v>
      </c>
      <c r="O820" t="s">
        <v>58</v>
      </c>
      <c r="P820" t="s">
        <v>36</v>
      </c>
      <c r="Q820">
        <v>195.26300000000001</v>
      </c>
    </row>
    <row r="821" spans="13:17" x14ac:dyDescent="0.25">
      <c r="M821">
        <v>2005</v>
      </c>
      <c r="N821" t="s">
        <v>7</v>
      </c>
      <c r="O821" t="s">
        <v>58</v>
      </c>
      <c r="P821" t="s">
        <v>36</v>
      </c>
      <c r="Q821">
        <v>362.11200000000002</v>
      </c>
    </row>
    <row r="822" spans="13:17" x14ac:dyDescent="0.25">
      <c r="M822">
        <v>2006</v>
      </c>
      <c r="N822" t="s">
        <v>7</v>
      </c>
      <c r="O822" t="s">
        <v>58</v>
      </c>
      <c r="P822" t="s">
        <v>36</v>
      </c>
      <c r="Q822">
        <v>239.18100000000001</v>
      </c>
    </row>
    <row r="823" spans="13:17" x14ac:dyDescent="0.25">
      <c r="M823">
        <v>2007</v>
      </c>
      <c r="N823" t="s">
        <v>7</v>
      </c>
      <c r="O823" t="s">
        <v>58</v>
      </c>
      <c r="P823" t="s">
        <v>36</v>
      </c>
      <c r="Q823">
        <v>213.48699999999999</v>
      </c>
    </row>
    <row r="824" spans="13:17" x14ac:dyDescent="0.25">
      <c r="M824">
        <v>2008</v>
      </c>
      <c r="N824" t="s">
        <v>7</v>
      </c>
      <c r="O824" t="s">
        <v>58</v>
      </c>
      <c r="P824" t="s">
        <v>36</v>
      </c>
      <c r="Q824">
        <v>260.23399999999998</v>
      </c>
    </row>
    <row r="825" spans="13:17" x14ac:dyDescent="0.25">
      <c r="M825">
        <v>2009</v>
      </c>
      <c r="N825" t="s">
        <v>7</v>
      </c>
      <c r="O825" t="s">
        <v>58</v>
      </c>
      <c r="P825" t="s">
        <v>36</v>
      </c>
      <c r="Q825">
        <v>265.93739900000003</v>
      </c>
    </row>
    <row r="826" spans="13:17" x14ac:dyDescent="0.25">
      <c r="M826">
        <v>2010</v>
      </c>
      <c r="N826" t="s">
        <v>7</v>
      </c>
      <c r="O826" t="s">
        <v>58</v>
      </c>
      <c r="P826" t="s">
        <v>36</v>
      </c>
      <c r="Q826">
        <v>422.76100000000002</v>
      </c>
    </row>
    <row r="827" spans="13:17" x14ac:dyDescent="0.25">
      <c r="M827">
        <v>2011</v>
      </c>
      <c r="N827" t="s">
        <v>7</v>
      </c>
      <c r="O827" t="s">
        <v>58</v>
      </c>
      <c r="P827" t="s">
        <v>36</v>
      </c>
      <c r="Q827">
        <v>532.00491099999999</v>
      </c>
    </row>
    <row r="828" spans="13:17" x14ac:dyDescent="0.25">
      <c r="M828">
        <v>2012</v>
      </c>
      <c r="N828" t="s">
        <v>7</v>
      </c>
      <c r="O828" t="s">
        <v>58</v>
      </c>
      <c r="P828" t="s">
        <v>36</v>
      </c>
      <c r="Q828">
        <v>503.36021</v>
      </c>
    </row>
    <row r="829" spans="13:17" x14ac:dyDescent="0.25">
      <c r="M829">
        <v>2013</v>
      </c>
      <c r="N829" t="s">
        <v>7</v>
      </c>
      <c r="O829" t="s">
        <v>58</v>
      </c>
      <c r="P829" t="s">
        <v>36</v>
      </c>
      <c r="Q829">
        <v>459.91006800000002</v>
      </c>
    </row>
    <row r="830" spans="13:17" x14ac:dyDescent="0.25">
      <c r="M830">
        <v>2014</v>
      </c>
      <c r="N830" t="s">
        <v>7</v>
      </c>
      <c r="O830" t="s">
        <v>58</v>
      </c>
      <c r="P830" t="s">
        <v>36</v>
      </c>
      <c r="Q830">
        <v>376.49310000000003</v>
      </c>
    </row>
    <row r="831" spans="13:17" x14ac:dyDescent="0.25">
      <c r="M831">
        <v>2015</v>
      </c>
      <c r="N831" t="s">
        <v>7</v>
      </c>
      <c r="O831" t="s">
        <v>58</v>
      </c>
      <c r="P831" t="s">
        <v>36</v>
      </c>
      <c r="Q831">
        <v>489.34169600000001</v>
      </c>
    </row>
    <row r="832" spans="13:17" x14ac:dyDescent="0.25">
      <c r="M832">
        <v>2016</v>
      </c>
      <c r="N832" t="s">
        <v>7</v>
      </c>
      <c r="O832" t="s">
        <v>58</v>
      </c>
      <c r="P832" t="s">
        <v>36</v>
      </c>
      <c r="Q832">
        <v>409.68207999999998</v>
      </c>
    </row>
    <row r="833" spans="13:17" x14ac:dyDescent="0.25">
      <c r="M833">
        <v>2017</v>
      </c>
      <c r="N833" t="s">
        <v>7</v>
      </c>
      <c r="O833" t="s">
        <v>58</v>
      </c>
      <c r="P833" t="s">
        <v>36</v>
      </c>
      <c r="Q833">
        <v>330.38090599999998</v>
      </c>
    </row>
    <row r="834" spans="13:17" x14ac:dyDescent="0.25">
      <c r="M834">
        <v>2018</v>
      </c>
      <c r="N834" t="s">
        <v>7</v>
      </c>
      <c r="O834" t="s">
        <v>58</v>
      </c>
      <c r="P834" t="s">
        <v>36</v>
      </c>
      <c r="Q834">
        <v>307.65251000000001</v>
      </c>
    </row>
    <row r="835" spans="13:17" x14ac:dyDescent="0.25">
      <c r="M835">
        <v>2019</v>
      </c>
      <c r="N835" t="s">
        <v>7</v>
      </c>
      <c r="O835" t="s">
        <v>58</v>
      </c>
      <c r="P835" t="s">
        <v>36</v>
      </c>
      <c r="Q835">
        <v>406.81866000000002</v>
      </c>
    </row>
    <row r="836" spans="13:17" x14ac:dyDescent="0.25">
      <c r="M836">
        <v>2020</v>
      </c>
      <c r="N836" t="s">
        <v>7</v>
      </c>
      <c r="O836" t="s">
        <v>58</v>
      </c>
      <c r="P836" t="s">
        <v>36</v>
      </c>
      <c r="Q836">
        <v>361.29</v>
      </c>
    </row>
    <row r="837" spans="13:17" x14ac:dyDescent="0.25">
      <c r="M837">
        <v>2021</v>
      </c>
      <c r="N837" t="s">
        <v>7</v>
      </c>
      <c r="O837" t="s">
        <v>58</v>
      </c>
      <c r="P837" t="s">
        <v>36</v>
      </c>
      <c r="Q837">
        <v>391.1003</v>
      </c>
    </row>
    <row r="838" spans="13:17" x14ac:dyDescent="0.25">
      <c r="M838">
        <v>2022</v>
      </c>
      <c r="N838" t="s">
        <v>7</v>
      </c>
      <c r="O838" t="s">
        <v>58</v>
      </c>
      <c r="P838" t="s">
        <v>36</v>
      </c>
      <c r="Q838">
        <v>380.45981</v>
      </c>
    </row>
    <row r="839" spans="13:17" x14ac:dyDescent="0.25">
      <c r="M839">
        <v>2023</v>
      </c>
      <c r="N839" t="s">
        <v>7</v>
      </c>
      <c r="O839" t="s">
        <v>58</v>
      </c>
      <c r="P839" t="s">
        <v>36</v>
      </c>
      <c r="Q839">
        <v>359.6902</v>
      </c>
    </row>
    <row r="840" spans="13:17" x14ac:dyDescent="0.25">
      <c r="M840">
        <v>2024</v>
      </c>
      <c r="N840" t="s">
        <v>7</v>
      </c>
      <c r="O840" t="s">
        <v>58</v>
      </c>
      <c r="P840" t="s">
        <v>36</v>
      </c>
      <c r="Q840">
        <v>374.02524</v>
      </c>
    </row>
    <row r="841" spans="13:17" x14ac:dyDescent="0.25">
      <c r="M841">
        <v>2000</v>
      </c>
      <c r="N841" t="s">
        <v>40</v>
      </c>
      <c r="O841" t="s">
        <v>58</v>
      </c>
      <c r="P841" t="s">
        <v>36</v>
      </c>
      <c r="Q841">
        <v>13.3</v>
      </c>
    </row>
    <row r="842" spans="13:17" x14ac:dyDescent="0.25">
      <c r="M842">
        <v>2001</v>
      </c>
      <c r="N842" t="s">
        <v>40</v>
      </c>
      <c r="O842" t="s">
        <v>58</v>
      </c>
      <c r="P842" t="s">
        <v>36</v>
      </c>
      <c r="Q842">
        <v>115.1</v>
      </c>
    </row>
    <row r="843" spans="13:17" x14ac:dyDescent="0.25">
      <c r="M843">
        <v>2002</v>
      </c>
      <c r="N843" t="s">
        <v>40</v>
      </c>
      <c r="O843" t="s">
        <v>58</v>
      </c>
      <c r="P843" t="s">
        <v>36</v>
      </c>
      <c r="Q843">
        <v>7.6</v>
      </c>
    </row>
    <row r="844" spans="13:17" x14ac:dyDescent="0.25">
      <c r="M844">
        <v>2003</v>
      </c>
      <c r="N844" t="s">
        <v>40</v>
      </c>
      <c r="O844" t="s">
        <v>58</v>
      </c>
      <c r="P844" t="s">
        <v>36</v>
      </c>
      <c r="Q844">
        <v>0.61</v>
      </c>
    </row>
    <row r="845" spans="13:17" x14ac:dyDescent="0.25">
      <c r="M845">
        <v>2004</v>
      </c>
      <c r="N845" t="s">
        <v>40</v>
      </c>
      <c r="O845" t="s">
        <v>58</v>
      </c>
      <c r="P845" t="s">
        <v>36</v>
      </c>
      <c r="Q845">
        <v>120.2</v>
      </c>
    </row>
    <row r="846" spans="13:17" x14ac:dyDescent="0.25">
      <c r="M846">
        <v>2005</v>
      </c>
      <c r="N846" t="s">
        <v>40</v>
      </c>
      <c r="O846" t="s">
        <v>58</v>
      </c>
      <c r="P846" t="s">
        <v>36</v>
      </c>
      <c r="Q846">
        <v>13.912000000000001</v>
      </c>
    </row>
    <row r="847" spans="13:17" x14ac:dyDescent="0.25">
      <c r="M847">
        <v>2006</v>
      </c>
      <c r="N847" t="s">
        <v>40</v>
      </c>
      <c r="O847" t="s">
        <v>58</v>
      </c>
      <c r="P847" t="s">
        <v>36</v>
      </c>
      <c r="Q847">
        <v>15.504</v>
      </c>
    </row>
    <row r="848" spans="13:17" x14ac:dyDescent="0.25">
      <c r="M848">
        <v>1972</v>
      </c>
      <c r="N848" t="s">
        <v>39</v>
      </c>
      <c r="O848" t="s">
        <v>58</v>
      </c>
      <c r="P848" t="s">
        <v>36</v>
      </c>
      <c r="Q848">
        <v>15.007</v>
      </c>
    </row>
    <row r="849" spans="13:17" x14ac:dyDescent="0.25">
      <c r="M849">
        <v>1973</v>
      </c>
      <c r="N849" t="s">
        <v>39</v>
      </c>
      <c r="O849" t="s">
        <v>58</v>
      </c>
      <c r="P849" t="s">
        <v>36</v>
      </c>
      <c r="Q849">
        <v>1.9359999999999999</v>
      </c>
    </row>
    <row r="850" spans="13:17" x14ac:dyDescent="0.25">
      <c r="M850">
        <v>1974</v>
      </c>
      <c r="N850" t="s">
        <v>39</v>
      </c>
      <c r="O850" t="s">
        <v>58</v>
      </c>
      <c r="P850" t="s">
        <v>36</v>
      </c>
      <c r="Q850">
        <v>9.4670000000000005</v>
      </c>
    </row>
    <row r="851" spans="13:17" x14ac:dyDescent="0.25">
      <c r="M851">
        <v>1975</v>
      </c>
      <c r="N851" t="s">
        <v>39</v>
      </c>
      <c r="O851" t="s">
        <v>58</v>
      </c>
      <c r="P851" t="s">
        <v>36</v>
      </c>
      <c r="Q851">
        <v>12.856</v>
      </c>
    </row>
    <row r="852" spans="13:17" x14ac:dyDescent="0.25">
      <c r="M852">
        <v>1976</v>
      </c>
      <c r="N852" t="s">
        <v>39</v>
      </c>
      <c r="O852" t="s">
        <v>58</v>
      </c>
      <c r="P852" t="s">
        <v>36</v>
      </c>
      <c r="Q852">
        <v>1</v>
      </c>
    </row>
    <row r="853" spans="13:17" x14ac:dyDescent="0.25">
      <c r="M853">
        <v>1977</v>
      </c>
      <c r="N853" t="s">
        <v>39</v>
      </c>
      <c r="O853" t="s">
        <v>58</v>
      </c>
      <c r="P853" t="s">
        <v>36</v>
      </c>
      <c r="Q853">
        <v>4.5720000000000001</v>
      </c>
    </row>
    <row r="854" spans="13:17" x14ac:dyDescent="0.25">
      <c r="M854">
        <v>1978</v>
      </c>
      <c r="N854" t="s">
        <v>39</v>
      </c>
      <c r="O854" t="s">
        <v>58</v>
      </c>
      <c r="P854" t="s">
        <v>36</v>
      </c>
      <c r="Q854">
        <v>2</v>
      </c>
    </row>
    <row r="855" spans="13:17" x14ac:dyDescent="0.25">
      <c r="M855">
        <v>1979</v>
      </c>
      <c r="N855" t="s">
        <v>39</v>
      </c>
      <c r="O855" t="s">
        <v>58</v>
      </c>
      <c r="P855" t="s">
        <v>36</v>
      </c>
      <c r="Q855">
        <v>3</v>
      </c>
    </row>
    <row r="856" spans="13:17" x14ac:dyDescent="0.25">
      <c r="M856">
        <v>1980</v>
      </c>
      <c r="N856" t="s">
        <v>39</v>
      </c>
      <c r="O856" t="s">
        <v>58</v>
      </c>
      <c r="P856" t="s">
        <v>36</v>
      </c>
      <c r="Q856">
        <v>1</v>
      </c>
    </row>
    <row r="857" spans="13:17" x14ac:dyDescent="0.25">
      <c r="M857">
        <v>1981</v>
      </c>
      <c r="N857" t="s">
        <v>39</v>
      </c>
      <c r="O857" t="s">
        <v>58</v>
      </c>
      <c r="P857" t="s">
        <v>36</v>
      </c>
      <c r="Q857">
        <v>1.022</v>
      </c>
    </row>
    <row r="858" spans="13:17" x14ac:dyDescent="0.25">
      <c r="M858">
        <v>1982</v>
      </c>
      <c r="N858" t="s">
        <v>39</v>
      </c>
      <c r="O858" t="s">
        <v>58</v>
      </c>
      <c r="P858" t="s">
        <v>36</v>
      </c>
      <c r="Q858">
        <v>5</v>
      </c>
    </row>
    <row r="859" spans="13:17" x14ac:dyDescent="0.25">
      <c r="M859">
        <v>1983</v>
      </c>
      <c r="N859" t="s">
        <v>39</v>
      </c>
      <c r="O859" t="s">
        <v>58</v>
      </c>
      <c r="P859" t="s">
        <v>36</v>
      </c>
      <c r="Q859">
        <v>6</v>
      </c>
    </row>
    <row r="860" spans="13:17" x14ac:dyDescent="0.25">
      <c r="M860">
        <v>1984</v>
      </c>
      <c r="N860" t="s">
        <v>39</v>
      </c>
      <c r="O860" t="s">
        <v>58</v>
      </c>
      <c r="P860" t="s">
        <v>36</v>
      </c>
      <c r="Q860">
        <v>19</v>
      </c>
    </row>
    <row r="861" spans="13:17" x14ac:dyDescent="0.25">
      <c r="M861">
        <v>1985</v>
      </c>
      <c r="N861" t="s">
        <v>39</v>
      </c>
      <c r="O861" t="s">
        <v>58</v>
      </c>
      <c r="P861" t="s">
        <v>36</v>
      </c>
      <c r="Q861">
        <v>14</v>
      </c>
    </row>
    <row r="862" spans="13:17" x14ac:dyDescent="0.25">
      <c r="M862">
        <v>1986</v>
      </c>
      <c r="N862" t="s">
        <v>39</v>
      </c>
      <c r="O862" t="s">
        <v>58</v>
      </c>
      <c r="P862" t="s">
        <v>36</v>
      </c>
      <c r="Q862">
        <v>7</v>
      </c>
    </row>
    <row r="863" spans="13:17" x14ac:dyDescent="0.25">
      <c r="M863">
        <v>1987</v>
      </c>
      <c r="N863" t="s">
        <v>39</v>
      </c>
      <c r="O863" t="s">
        <v>58</v>
      </c>
      <c r="P863" t="s">
        <v>36</v>
      </c>
      <c r="Q863">
        <v>3</v>
      </c>
    </row>
    <row r="864" spans="13:17" x14ac:dyDescent="0.25">
      <c r="M864">
        <v>1988</v>
      </c>
      <c r="N864" t="s">
        <v>39</v>
      </c>
      <c r="O864" t="s">
        <v>58</v>
      </c>
      <c r="P864" t="s">
        <v>36</v>
      </c>
      <c r="Q864">
        <v>4</v>
      </c>
    </row>
    <row r="865" spans="13:17" x14ac:dyDescent="0.25">
      <c r="M865">
        <v>1989</v>
      </c>
      <c r="N865" t="s">
        <v>39</v>
      </c>
      <c r="O865" t="s">
        <v>58</v>
      </c>
      <c r="P865" t="s">
        <v>36</v>
      </c>
      <c r="Q865">
        <v>1</v>
      </c>
    </row>
    <row r="866" spans="13:17" x14ac:dyDescent="0.25">
      <c r="M866">
        <v>1990</v>
      </c>
      <c r="N866" t="s">
        <v>39</v>
      </c>
      <c r="O866" t="s">
        <v>58</v>
      </c>
      <c r="P866" t="s">
        <v>36</v>
      </c>
      <c r="Q866">
        <v>2</v>
      </c>
    </row>
    <row r="867" spans="13:17" x14ac:dyDescent="0.25">
      <c r="M867">
        <v>1991</v>
      </c>
      <c r="N867" t="s">
        <v>39</v>
      </c>
      <c r="O867" t="s">
        <v>58</v>
      </c>
      <c r="P867" t="s">
        <v>36</v>
      </c>
      <c r="Q867">
        <v>1</v>
      </c>
    </row>
    <row r="868" spans="13:17" x14ac:dyDescent="0.25">
      <c r="M868">
        <v>1992</v>
      </c>
      <c r="N868" t="s">
        <v>39</v>
      </c>
      <c r="O868" t="s">
        <v>58</v>
      </c>
      <c r="P868" t="s">
        <v>36</v>
      </c>
      <c r="Q868">
        <v>2</v>
      </c>
    </row>
    <row r="869" spans="13:17" x14ac:dyDescent="0.25">
      <c r="M869">
        <v>1993</v>
      </c>
      <c r="N869" t="s">
        <v>39</v>
      </c>
      <c r="O869" t="s">
        <v>58</v>
      </c>
      <c r="P869" t="s">
        <v>36</v>
      </c>
      <c r="Q869">
        <v>4</v>
      </c>
    </row>
    <row r="870" spans="13:17" x14ac:dyDescent="0.25">
      <c r="M870">
        <v>1994</v>
      </c>
      <c r="N870" t="s">
        <v>39</v>
      </c>
      <c r="O870" t="s">
        <v>58</v>
      </c>
      <c r="P870" t="s">
        <v>36</v>
      </c>
      <c r="Q870">
        <v>2</v>
      </c>
    </row>
    <row r="871" spans="13:17" x14ac:dyDescent="0.25">
      <c r="M871">
        <v>1995</v>
      </c>
      <c r="N871" t="s">
        <v>39</v>
      </c>
      <c r="O871" t="s">
        <v>58</v>
      </c>
      <c r="P871" t="s">
        <v>36</v>
      </c>
      <c r="Q871">
        <v>4</v>
      </c>
    </row>
    <row r="872" spans="13:17" x14ac:dyDescent="0.25">
      <c r="M872">
        <v>1996</v>
      </c>
      <c r="N872" t="s">
        <v>39</v>
      </c>
      <c r="O872" t="s">
        <v>58</v>
      </c>
      <c r="P872" t="s">
        <v>36</v>
      </c>
      <c r="Q872">
        <v>5</v>
      </c>
    </row>
    <row r="873" spans="13:17" x14ac:dyDescent="0.25">
      <c r="M873">
        <v>1997</v>
      </c>
      <c r="N873" t="s">
        <v>39</v>
      </c>
      <c r="O873" t="s">
        <v>58</v>
      </c>
      <c r="P873" t="s">
        <v>36</v>
      </c>
      <c r="Q873">
        <v>5</v>
      </c>
    </row>
    <row r="874" spans="13:17" x14ac:dyDescent="0.25">
      <c r="M874">
        <v>1998</v>
      </c>
      <c r="N874" t="s">
        <v>39</v>
      </c>
      <c r="O874" t="s">
        <v>58</v>
      </c>
      <c r="P874" t="s">
        <v>36</v>
      </c>
      <c r="Q874">
        <v>7</v>
      </c>
    </row>
    <row r="875" spans="13:17" x14ac:dyDescent="0.25">
      <c r="M875">
        <v>1999</v>
      </c>
      <c r="N875" t="s">
        <v>39</v>
      </c>
      <c r="O875" t="s">
        <v>58</v>
      </c>
      <c r="P875" t="s">
        <v>36</v>
      </c>
      <c r="Q875">
        <v>4</v>
      </c>
    </row>
    <row r="876" spans="13:17" x14ac:dyDescent="0.25">
      <c r="M876">
        <v>2000</v>
      </c>
      <c r="N876" t="s">
        <v>39</v>
      </c>
      <c r="O876" t="s">
        <v>58</v>
      </c>
      <c r="P876" t="s">
        <v>36</v>
      </c>
      <c r="Q876">
        <v>2</v>
      </c>
    </row>
    <row r="877" spans="13:17" x14ac:dyDescent="0.25">
      <c r="M877">
        <v>2001</v>
      </c>
      <c r="N877" t="s">
        <v>39</v>
      </c>
      <c r="O877" t="s">
        <v>58</v>
      </c>
      <c r="P877" t="s">
        <v>36</v>
      </c>
      <c r="Q877">
        <v>1</v>
      </c>
    </row>
    <row r="878" spans="13:17" x14ac:dyDescent="0.25">
      <c r="M878">
        <v>2002</v>
      </c>
      <c r="N878" t="s">
        <v>39</v>
      </c>
      <c r="O878" t="s">
        <v>58</v>
      </c>
      <c r="P878" t="s">
        <v>36</v>
      </c>
      <c r="Q878">
        <v>0.752</v>
      </c>
    </row>
    <row r="879" spans="13:17" x14ac:dyDescent="0.25">
      <c r="M879">
        <v>2003</v>
      </c>
      <c r="N879" t="s">
        <v>39</v>
      </c>
      <c r="O879" t="s">
        <v>58</v>
      </c>
      <c r="P879" t="s">
        <v>36</v>
      </c>
      <c r="Q879">
        <v>0</v>
      </c>
    </row>
    <row r="880" spans="13:17" x14ac:dyDescent="0.25">
      <c r="M880">
        <v>2004</v>
      </c>
      <c r="N880" t="s">
        <v>39</v>
      </c>
      <c r="O880" t="s">
        <v>58</v>
      </c>
      <c r="P880" t="s">
        <v>36</v>
      </c>
      <c r="Q880">
        <v>2</v>
      </c>
    </row>
    <row r="881" spans="13:17" x14ac:dyDescent="0.25">
      <c r="M881">
        <v>2005</v>
      </c>
      <c r="N881" t="s">
        <v>39</v>
      </c>
      <c r="O881" t="s">
        <v>58</v>
      </c>
      <c r="P881" t="s">
        <v>36</v>
      </c>
      <c r="Q881">
        <v>3.7450000000000001</v>
      </c>
    </row>
    <row r="882" spans="13:17" x14ac:dyDescent="0.25">
      <c r="M882">
        <v>2006</v>
      </c>
      <c r="N882" t="s">
        <v>39</v>
      </c>
      <c r="O882" t="s">
        <v>58</v>
      </c>
      <c r="P882" t="s">
        <v>36</v>
      </c>
      <c r="Q882">
        <v>0.38600000000000001</v>
      </c>
    </row>
    <row r="883" spans="13:17" x14ac:dyDescent="0.25">
      <c r="M883">
        <v>2007</v>
      </c>
      <c r="N883" t="s">
        <v>39</v>
      </c>
      <c r="O883" t="s">
        <v>58</v>
      </c>
      <c r="P883" t="s">
        <v>36</v>
      </c>
      <c r="Q883">
        <v>2.5819999999999999</v>
      </c>
    </row>
    <row r="884" spans="13:17" x14ac:dyDescent="0.25">
      <c r="M884">
        <v>2008</v>
      </c>
      <c r="N884" t="s">
        <v>39</v>
      </c>
      <c r="O884" t="s">
        <v>58</v>
      </c>
      <c r="P884" t="s">
        <v>36</v>
      </c>
      <c r="Q884">
        <v>1.4950000000000001</v>
      </c>
    </row>
    <row r="885" spans="13:17" x14ac:dyDescent="0.25">
      <c r="M885">
        <v>2009</v>
      </c>
      <c r="N885" t="s">
        <v>39</v>
      </c>
      <c r="O885" t="s">
        <v>58</v>
      </c>
      <c r="P885" t="s">
        <v>36</v>
      </c>
      <c r="Q885">
        <v>0.52500000000000002</v>
      </c>
    </row>
    <row r="886" spans="13:17" x14ac:dyDescent="0.25">
      <c r="M886">
        <v>2013</v>
      </c>
      <c r="N886" t="s">
        <v>39</v>
      </c>
      <c r="O886" t="s">
        <v>58</v>
      </c>
      <c r="P886" t="s">
        <v>36</v>
      </c>
      <c r="Q886">
        <v>0</v>
      </c>
    </row>
    <row r="887" spans="13:17" x14ac:dyDescent="0.25">
      <c r="M887">
        <v>2014</v>
      </c>
      <c r="N887" t="s">
        <v>39</v>
      </c>
      <c r="O887" t="s">
        <v>58</v>
      </c>
      <c r="P887" t="s">
        <v>36</v>
      </c>
      <c r="Q887">
        <v>0</v>
      </c>
    </row>
    <row r="888" spans="13:17" x14ac:dyDescent="0.25">
      <c r="M888">
        <v>2015</v>
      </c>
      <c r="N888" t="s">
        <v>39</v>
      </c>
      <c r="O888" t="s">
        <v>58</v>
      </c>
      <c r="P888" t="s">
        <v>36</v>
      </c>
      <c r="Q888">
        <v>0</v>
      </c>
    </row>
    <row r="889" spans="13:17" x14ac:dyDescent="0.25">
      <c r="M889">
        <v>2017</v>
      </c>
      <c r="N889" t="s">
        <v>39</v>
      </c>
      <c r="O889" t="s">
        <v>58</v>
      </c>
      <c r="P889" t="s">
        <v>36</v>
      </c>
      <c r="Q889">
        <v>0</v>
      </c>
    </row>
    <row r="890" spans="13:17" x14ac:dyDescent="0.25">
      <c r="M890">
        <v>2018</v>
      </c>
      <c r="N890" t="s">
        <v>39</v>
      </c>
      <c r="O890" t="s">
        <v>58</v>
      </c>
      <c r="P890" t="s">
        <v>36</v>
      </c>
      <c r="Q890">
        <v>0</v>
      </c>
    </row>
    <row r="891" spans="13:17" x14ac:dyDescent="0.25">
      <c r="M891">
        <v>2019</v>
      </c>
      <c r="N891" t="s">
        <v>39</v>
      </c>
      <c r="O891" t="s">
        <v>58</v>
      </c>
      <c r="P891" t="s">
        <v>36</v>
      </c>
      <c r="Q891">
        <v>0</v>
      </c>
    </row>
    <row r="892" spans="13:17" x14ac:dyDescent="0.25">
      <c r="M892">
        <v>2020</v>
      </c>
      <c r="N892" t="s">
        <v>39</v>
      </c>
      <c r="O892" t="s">
        <v>58</v>
      </c>
      <c r="P892" t="s">
        <v>36</v>
      </c>
      <c r="Q892">
        <v>0</v>
      </c>
    </row>
    <row r="893" spans="13:17" x14ac:dyDescent="0.25">
      <c r="M893">
        <v>2021</v>
      </c>
      <c r="N893" t="s">
        <v>39</v>
      </c>
      <c r="O893" t="s">
        <v>58</v>
      </c>
      <c r="P893" t="s">
        <v>36</v>
      </c>
      <c r="Q893">
        <v>0</v>
      </c>
    </row>
    <row r="894" spans="13:17" x14ac:dyDescent="0.25">
      <c r="M894">
        <v>2022</v>
      </c>
      <c r="N894" t="s">
        <v>39</v>
      </c>
      <c r="O894" t="s">
        <v>58</v>
      </c>
      <c r="P894" t="s">
        <v>36</v>
      </c>
      <c r="Q894">
        <v>0</v>
      </c>
    </row>
    <row r="895" spans="13:17" x14ac:dyDescent="0.25">
      <c r="M895">
        <v>2023</v>
      </c>
      <c r="N895" t="s">
        <v>39</v>
      </c>
      <c r="O895" t="s">
        <v>58</v>
      </c>
      <c r="P895" t="s">
        <v>36</v>
      </c>
      <c r="Q895">
        <v>0</v>
      </c>
    </row>
    <row r="896" spans="13:17" x14ac:dyDescent="0.25">
      <c r="M896">
        <v>2024</v>
      </c>
      <c r="N896" t="s">
        <v>39</v>
      </c>
      <c r="O896" t="s">
        <v>58</v>
      </c>
      <c r="P896" t="s">
        <v>36</v>
      </c>
      <c r="Q896">
        <v>0</v>
      </c>
    </row>
    <row r="897" spans="13:17" x14ac:dyDescent="0.25">
      <c r="M897">
        <v>2009</v>
      </c>
      <c r="N897" t="s">
        <v>41</v>
      </c>
      <c r="O897" t="s">
        <v>58</v>
      </c>
      <c r="P897" t="s">
        <v>36</v>
      </c>
      <c r="Q897">
        <v>1</v>
      </c>
    </row>
    <row r="898" spans="13:17" x14ac:dyDescent="0.25">
      <c r="M898">
        <v>1998</v>
      </c>
      <c r="N898" t="s">
        <v>10</v>
      </c>
      <c r="O898" t="s">
        <v>58</v>
      </c>
      <c r="P898" t="s">
        <v>36</v>
      </c>
      <c r="Q898">
        <v>11</v>
      </c>
    </row>
    <row r="899" spans="13:17" x14ac:dyDescent="0.25">
      <c r="M899">
        <v>2000</v>
      </c>
      <c r="N899" t="s">
        <v>10</v>
      </c>
      <c r="O899" t="s">
        <v>58</v>
      </c>
      <c r="P899" t="s">
        <v>36</v>
      </c>
      <c r="Q899">
        <v>7.6349999999999998</v>
      </c>
    </row>
    <row r="900" spans="13:17" x14ac:dyDescent="0.25">
      <c r="M900">
        <v>2001</v>
      </c>
      <c r="N900" t="s">
        <v>10</v>
      </c>
      <c r="O900" t="s">
        <v>58</v>
      </c>
      <c r="P900" t="s">
        <v>36</v>
      </c>
      <c r="Q900">
        <v>5.5640000000000001</v>
      </c>
    </row>
    <row r="901" spans="13:17" x14ac:dyDescent="0.25">
      <c r="M901">
        <v>2003</v>
      </c>
      <c r="N901" t="s">
        <v>10</v>
      </c>
      <c r="O901" t="s">
        <v>58</v>
      </c>
      <c r="P901" t="s">
        <v>36</v>
      </c>
      <c r="Q901">
        <v>10.064</v>
      </c>
    </row>
    <row r="902" spans="13:17" x14ac:dyDescent="0.25">
      <c r="M902">
        <v>2004</v>
      </c>
      <c r="N902" t="s">
        <v>10</v>
      </c>
      <c r="O902" t="s">
        <v>58</v>
      </c>
      <c r="P902" t="s">
        <v>36</v>
      </c>
      <c r="Q902">
        <v>2.4390000000000001</v>
      </c>
    </row>
    <row r="903" spans="13:17" x14ac:dyDescent="0.25">
      <c r="M903">
        <v>2006</v>
      </c>
      <c r="N903" t="s">
        <v>10</v>
      </c>
      <c r="O903" t="s">
        <v>58</v>
      </c>
      <c r="P903" t="s">
        <v>36</v>
      </c>
      <c r="Q903">
        <v>15.9</v>
      </c>
    </row>
    <row r="904" spans="13:17" x14ac:dyDescent="0.25">
      <c r="M904">
        <v>2015</v>
      </c>
      <c r="N904" t="s">
        <v>10</v>
      </c>
      <c r="O904" t="s">
        <v>58</v>
      </c>
      <c r="P904" t="s">
        <v>36</v>
      </c>
      <c r="Q904">
        <v>585</v>
      </c>
    </row>
    <row r="905" spans="13:17" x14ac:dyDescent="0.25">
      <c r="M905">
        <v>2016</v>
      </c>
      <c r="N905" t="s">
        <v>10</v>
      </c>
      <c r="O905" t="s">
        <v>58</v>
      </c>
      <c r="P905" t="s">
        <v>36</v>
      </c>
      <c r="Q905">
        <v>960</v>
      </c>
    </row>
    <row r="906" spans="13:17" x14ac:dyDescent="0.25">
      <c r="M906">
        <v>2017</v>
      </c>
      <c r="N906" t="s">
        <v>10</v>
      </c>
      <c r="O906" t="s">
        <v>58</v>
      </c>
      <c r="P906" t="s">
        <v>36</v>
      </c>
      <c r="Q906">
        <v>30</v>
      </c>
    </row>
    <row r="907" spans="13:17" x14ac:dyDescent="0.25">
      <c r="M907">
        <v>2018</v>
      </c>
      <c r="N907" t="s">
        <v>10</v>
      </c>
      <c r="O907" t="s">
        <v>58</v>
      </c>
      <c r="P907" t="s">
        <v>36</v>
      </c>
      <c r="Q907">
        <v>70</v>
      </c>
    </row>
    <row r="908" spans="13:17" x14ac:dyDescent="0.25">
      <c r="M908">
        <v>2019</v>
      </c>
      <c r="N908" t="s">
        <v>10</v>
      </c>
      <c r="O908" t="s">
        <v>58</v>
      </c>
      <c r="P908" t="s">
        <v>36</v>
      </c>
      <c r="Q908">
        <v>26</v>
      </c>
    </row>
    <row r="909" spans="13:17" x14ac:dyDescent="0.25">
      <c r="M909">
        <v>2020</v>
      </c>
      <c r="N909" t="s">
        <v>10</v>
      </c>
      <c r="O909" t="s">
        <v>58</v>
      </c>
      <c r="P909" t="s">
        <v>36</v>
      </c>
      <c r="Q909">
        <v>22</v>
      </c>
    </row>
    <row r="910" spans="13:17" x14ac:dyDescent="0.25">
      <c r="M910">
        <v>2021</v>
      </c>
      <c r="N910" t="s">
        <v>10</v>
      </c>
      <c r="O910" t="s">
        <v>58</v>
      </c>
      <c r="P910" t="s">
        <v>36</v>
      </c>
      <c r="Q910">
        <v>19</v>
      </c>
    </row>
    <row r="911" spans="13:17" x14ac:dyDescent="0.25">
      <c r="M911">
        <v>2022</v>
      </c>
      <c r="N911" t="s">
        <v>10</v>
      </c>
      <c r="O911" t="s">
        <v>58</v>
      </c>
      <c r="P911" t="s">
        <v>36</v>
      </c>
      <c r="Q911">
        <v>21</v>
      </c>
    </row>
    <row r="912" spans="13:17" x14ac:dyDescent="0.25">
      <c r="M912">
        <v>2023</v>
      </c>
      <c r="N912" t="s">
        <v>10</v>
      </c>
      <c r="O912" t="s">
        <v>58</v>
      </c>
      <c r="P912" t="s">
        <v>36</v>
      </c>
      <c r="Q912">
        <v>250</v>
      </c>
    </row>
    <row r="913" spans="13:17" x14ac:dyDescent="0.25">
      <c r="M913">
        <v>2024</v>
      </c>
      <c r="N913" t="s">
        <v>10</v>
      </c>
      <c r="O913" t="s">
        <v>58</v>
      </c>
      <c r="P913" t="s">
        <v>36</v>
      </c>
      <c r="Q913">
        <v>120</v>
      </c>
    </row>
    <row r="914" spans="13:17" x14ac:dyDescent="0.25">
      <c r="M914">
        <v>1961</v>
      </c>
      <c r="N914" t="s">
        <v>4</v>
      </c>
      <c r="O914" t="s">
        <v>58</v>
      </c>
      <c r="P914" t="s">
        <v>36</v>
      </c>
      <c r="Q914">
        <v>94</v>
      </c>
    </row>
    <row r="915" spans="13:17" x14ac:dyDescent="0.25">
      <c r="M915">
        <v>1962</v>
      </c>
      <c r="N915" t="s">
        <v>4</v>
      </c>
      <c r="O915" t="s">
        <v>58</v>
      </c>
      <c r="P915" t="s">
        <v>36</v>
      </c>
      <c r="Q915">
        <v>188</v>
      </c>
    </row>
    <row r="916" spans="13:17" x14ac:dyDescent="0.25">
      <c r="M916">
        <v>1963</v>
      </c>
      <c r="N916" t="s">
        <v>4</v>
      </c>
      <c r="O916" t="s">
        <v>58</v>
      </c>
      <c r="P916" t="s">
        <v>36</v>
      </c>
      <c r="Q916">
        <v>94</v>
      </c>
    </row>
    <row r="917" spans="13:17" x14ac:dyDescent="0.25">
      <c r="M917">
        <v>1964</v>
      </c>
      <c r="N917" t="s">
        <v>4</v>
      </c>
      <c r="O917" t="s">
        <v>58</v>
      </c>
      <c r="P917" t="s">
        <v>36</v>
      </c>
      <c r="Q917">
        <v>282</v>
      </c>
    </row>
    <row r="918" spans="13:17" x14ac:dyDescent="0.25">
      <c r="M918">
        <v>1965</v>
      </c>
      <c r="N918" t="s">
        <v>4</v>
      </c>
      <c r="O918" t="s">
        <v>58</v>
      </c>
      <c r="P918" t="s">
        <v>36</v>
      </c>
      <c r="Q918">
        <v>223</v>
      </c>
    </row>
    <row r="919" spans="13:17" x14ac:dyDescent="0.25">
      <c r="M919">
        <v>1966</v>
      </c>
      <c r="N919" t="s">
        <v>4</v>
      </c>
      <c r="O919" t="s">
        <v>58</v>
      </c>
      <c r="P919" t="s">
        <v>36</v>
      </c>
      <c r="Q919">
        <v>192</v>
      </c>
    </row>
    <row r="920" spans="13:17" x14ac:dyDescent="0.25">
      <c r="M920">
        <v>1967</v>
      </c>
      <c r="N920" t="s">
        <v>4</v>
      </c>
      <c r="O920" t="s">
        <v>58</v>
      </c>
      <c r="P920" t="s">
        <v>36</v>
      </c>
      <c r="Q920">
        <v>169</v>
      </c>
    </row>
    <row r="921" spans="13:17" x14ac:dyDescent="0.25">
      <c r="M921">
        <v>1968</v>
      </c>
      <c r="N921" t="s">
        <v>4</v>
      </c>
      <c r="O921" t="s">
        <v>58</v>
      </c>
      <c r="P921" t="s">
        <v>36</v>
      </c>
      <c r="Q921">
        <v>196</v>
      </c>
    </row>
    <row r="922" spans="13:17" x14ac:dyDescent="0.25">
      <c r="M922">
        <v>1969</v>
      </c>
      <c r="N922" t="s">
        <v>4</v>
      </c>
      <c r="O922" t="s">
        <v>58</v>
      </c>
      <c r="P922" t="s">
        <v>36</v>
      </c>
      <c r="Q922">
        <v>250</v>
      </c>
    </row>
    <row r="923" spans="13:17" x14ac:dyDescent="0.25">
      <c r="M923">
        <v>1970</v>
      </c>
      <c r="N923" t="s">
        <v>4</v>
      </c>
      <c r="O923" t="s">
        <v>58</v>
      </c>
      <c r="P923" t="s">
        <v>36</v>
      </c>
      <c r="Q923">
        <v>214</v>
      </c>
    </row>
    <row r="924" spans="13:17" x14ac:dyDescent="0.25">
      <c r="M924">
        <v>1971</v>
      </c>
      <c r="N924" t="s">
        <v>4</v>
      </c>
      <c r="O924" t="s">
        <v>58</v>
      </c>
      <c r="P924" t="s">
        <v>36</v>
      </c>
      <c r="Q924">
        <v>326</v>
      </c>
    </row>
    <row r="925" spans="13:17" x14ac:dyDescent="0.25">
      <c r="M925">
        <v>1972</v>
      </c>
      <c r="N925" t="s">
        <v>4</v>
      </c>
      <c r="O925" t="s">
        <v>58</v>
      </c>
      <c r="P925" t="s">
        <v>36</v>
      </c>
      <c r="Q925">
        <v>229</v>
      </c>
    </row>
    <row r="926" spans="13:17" x14ac:dyDescent="0.25">
      <c r="M926">
        <v>1973</v>
      </c>
      <c r="N926" t="s">
        <v>4</v>
      </c>
      <c r="O926" t="s">
        <v>58</v>
      </c>
      <c r="P926" t="s">
        <v>36</v>
      </c>
      <c r="Q926">
        <v>183</v>
      </c>
    </row>
    <row r="927" spans="13:17" x14ac:dyDescent="0.25">
      <c r="M927">
        <v>1974</v>
      </c>
      <c r="N927" t="s">
        <v>4</v>
      </c>
      <c r="O927" t="s">
        <v>58</v>
      </c>
      <c r="P927" t="s">
        <v>36</v>
      </c>
      <c r="Q927">
        <v>193</v>
      </c>
    </row>
    <row r="928" spans="13:17" x14ac:dyDescent="0.25">
      <c r="M928">
        <v>1975</v>
      </c>
      <c r="N928" t="s">
        <v>4</v>
      </c>
      <c r="O928" t="s">
        <v>58</v>
      </c>
      <c r="P928" t="s">
        <v>36</v>
      </c>
      <c r="Q928">
        <v>118</v>
      </c>
    </row>
    <row r="929" spans="13:17" x14ac:dyDescent="0.25">
      <c r="M929">
        <v>1976</v>
      </c>
      <c r="N929" t="s">
        <v>4</v>
      </c>
      <c r="O929" t="s">
        <v>58</v>
      </c>
      <c r="P929" t="s">
        <v>36</v>
      </c>
      <c r="Q929">
        <v>186</v>
      </c>
    </row>
    <row r="930" spans="13:17" x14ac:dyDescent="0.25">
      <c r="M930">
        <v>1977</v>
      </c>
      <c r="N930" t="s">
        <v>4</v>
      </c>
      <c r="O930" t="s">
        <v>58</v>
      </c>
      <c r="P930" t="s">
        <v>36</v>
      </c>
      <c r="Q930">
        <v>144</v>
      </c>
    </row>
    <row r="931" spans="13:17" x14ac:dyDescent="0.25">
      <c r="M931">
        <v>1978</v>
      </c>
      <c r="N931" t="s">
        <v>4</v>
      </c>
      <c r="O931" t="s">
        <v>58</v>
      </c>
      <c r="P931" t="s">
        <v>36</v>
      </c>
      <c r="Q931">
        <v>172</v>
      </c>
    </row>
    <row r="932" spans="13:17" x14ac:dyDescent="0.25">
      <c r="M932">
        <v>1979</v>
      </c>
      <c r="N932" t="s">
        <v>4</v>
      </c>
      <c r="O932" t="s">
        <v>58</v>
      </c>
      <c r="P932" t="s">
        <v>36</v>
      </c>
      <c r="Q932">
        <v>167.333</v>
      </c>
    </row>
    <row r="933" spans="13:17" x14ac:dyDescent="0.25">
      <c r="M933">
        <v>1980</v>
      </c>
      <c r="N933" t="s">
        <v>4</v>
      </c>
      <c r="O933" t="s">
        <v>58</v>
      </c>
      <c r="P933" t="s">
        <v>36</v>
      </c>
      <c r="Q933">
        <v>161.11099999999999</v>
      </c>
    </row>
    <row r="934" spans="13:17" x14ac:dyDescent="0.25">
      <c r="M934">
        <v>1981</v>
      </c>
      <c r="N934" t="s">
        <v>4</v>
      </c>
      <c r="O934" t="s">
        <v>58</v>
      </c>
      <c r="P934" t="s">
        <v>36</v>
      </c>
      <c r="Q934">
        <v>166.815</v>
      </c>
    </row>
    <row r="935" spans="13:17" x14ac:dyDescent="0.25">
      <c r="M935">
        <v>1982</v>
      </c>
      <c r="N935" t="s">
        <v>4</v>
      </c>
      <c r="O935" t="s">
        <v>58</v>
      </c>
      <c r="P935" t="s">
        <v>36</v>
      </c>
      <c r="Q935">
        <v>165.08600000000001</v>
      </c>
    </row>
    <row r="936" spans="13:17" x14ac:dyDescent="0.25">
      <c r="M936">
        <v>1983</v>
      </c>
      <c r="N936" t="s">
        <v>4</v>
      </c>
      <c r="O936" t="s">
        <v>58</v>
      </c>
      <c r="P936" t="s">
        <v>36</v>
      </c>
      <c r="Q936">
        <v>43</v>
      </c>
    </row>
    <row r="937" spans="13:17" x14ac:dyDescent="0.25">
      <c r="M937">
        <v>1984</v>
      </c>
      <c r="N937" t="s">
        <v>4</v>
      </c>
      <c r="O937" t="s">
        <v>58</v>
      </c>
      <c r="P937" t="s">
        <v>36</v>
      </c>
      <c r="Q937">
        <v>39</v>
      </c>
    </row>
    <row r="938" spans="13:17" x14ac:dyDescent="0.25">
      <c r="M938">
        <v>1985</v>
      </c>
      <c r="N938" t="s">
        <v>4</v>
      </c>
      <c r="O938" t="s">
        <v>58</v>
      </c>
      <c r="P938" t="s">
        <v>36</v>
      </c>
      <c r="Q938">
        <v>38</v>
      </c>
    </row>
    <row r="939" spans="13:17" x14ac:dyDescent="0.25">
      <c r="M939">
        <v>1986</v>
      </c>
      <c r="N939" t="s">
        <v>4</v>
      </c>
      <c r="O939" t="s">
        <v>58</v>
      </c>
      <c r="P939" t="s">
        <v>36</v>
      </c>
      <c r="Q939">
        <v>92</v>
      </c>
    </row>
    <row r="940" spans="13:17" x14ac:dyDescent="0.25">
      <c r="M940">
        <v>1987</v>
      </c>
      <c r="N940" t="s">
        <v>4</v>
      </c>
      <c r="O940" t="s">
        <v>58</v>
      </c>
      <c r="P940" t="s">
        <v>36</v>
      </c>
      <c r="Q940">
        <v>40</v>
      </c>
    </row>
    <row r="941" spans="13:17" x14ac:dyDescent="0.25">
      <c r="M941">
        <v>1988</v>
      </c>
      <c r="N941" t="s">
        <v>4</v>
      </c>
      <c r="O941" t="s">
        <v>58</v>
      </c>
      <c r="P941" t="s">
        <v>36</v>
      </c>
      <c r="Q941">
        <v>62</v>
      </c>
    </row>
    <row r="942" spans="13:17" x14ac:dyDescent="0.25">
      <c r="M942">
        <v>1989</v>
      </c>
      <c r="N942" t="s">
        <v>4</v>
      </c>
      <c r="O942" t="s">
        <v>58</v>
      </c>
      <c r="P942" t="s">
        <v>36</v>
      </c>
      <c r="Q942">
        <v>97</v>
      </c>
    </row>
    <row r="943" spans="13:17" x14ac:dyDescent="0.25">
      <c r="M943">
        <v>1990</v>
      </c>
      <c r="N943" t="s">
        <v>4</v>
      </c>
      <c r="O943" t="s">
        <v>58</v>
      </c>
      <c r="P943" t="s">
        <v>36</v>
      </c>
      <c r="Q943">
        <v>371</v>
      </c>
    </row>
    <row r="944" spans="13:17" x14ac:dyDescent="0.25">
      <c r="M944">
        <v>1991</v>
      </c>
      <c r="N944" t="s">
        <v>4</v>
      </c>
      <c r="O944" t="s">
        <v>58</v>
      </c>
      <c r="P944" t="s">
        <v>36</v>
      </c>
      <c r="Q944">
        <v>508</v>
      </c>
    </row>
    <row r="945" spans="13:17" x14ac:dyDescent="0.25">
      <c r="M945">
        <v>1992</v>
      </c>
      <c r="N945" t="s">
        <v>4</v>
      </c>
      <c r="O945" t="s">
        <v>58</v>
      </c>
      <c r="P945" t="s">
        <v>36</v>
      </c>
      <c r="Q945">
        <v>807</v>
      </c>
    </row>
    <row r="946" spans="13:17" x14ac:dyDescent="0.25">
      <c r="M946">
        <v>1993</v>
      </c>
      <c r="N946" t="s">
        <v>4</v>
      </c>
      <c r="O946" t="s">
        <v>58</v>
      </c>
      <c r="P946" t="s">
        <v>36</v>
      </c>
      <c r="Q946">
        <v>517</v>
      </c>
    </row>
    <row r="947" spans="13:17" x14ac:dyDescent="0.25">
      <c r="M947">
        <v>1994</v>
      </c>
      <c r="N947" t="s">
        <v>4</v>
      </c>
      <c r="O947" t="s">
        <v>58</v>
      </c>
      <c r="P947" t="s">
        <v>36</v>
      </c>
      <c r="Q947">
        <v>527</v>
      </c>
    </row>
    <row r="948" spans="13:17" x14ac:dyDescent="0.25">
      <c r="M948">
        <v>1995</v>
      </c>
      <c r="N948" t="s">
        <v>4</v>
      </c>
      <c r="O948" t="s">
        <v>58</v>
      </c>
      <c r="P948" t="s">
        <v>36</v>
      </c>
      <c r="Q948">
        <v>169</v>
      </c>
    </row>
    <row r="949" spans="13:17" x14ac:dyDescent="0.25">
      <c r="M949">
        <v>1996</v>
      </c>
      <c r="N949" t="s">
        <v>4</v>
      </c>
      <c r="O949" t="s">
        <v>58</v>
      </c>
      <c r="P949" t="s">
        <v>36</v>
      </c>
      <c r="Q949">
        <v>273</v>
      </c>
    </row>
    <row r="950" spans="13:17" x14ac:dyDescent="0.25">
      <c r="M950">
        <v>1997</v>
      </c>
      <c r="N950" t="s">
        <v>4</v>
      </c>
      <c r="O950" t="s">
        <v>58</v>
      </c>
      <c r="P950" t="s">
        <v>36</v>
      </c>
      <c r="Q950">
        <v>245</v>
      </c>
    </row>
    <row r="951" spans="13:17" x14ac:dyDescent="0.25">
      <c r="M951">
        <v>1998</v>
      </c>
      <c r="N951" t="s">
        <v>4</v>
      </c>
      <c r="O951" t="s">
        <v>58</v>
      </c>
      <c r="P951" t="s">
        <v>36</v>
      </c>
      <c r="Q951">
        <v>323</v>
      </c>
    </row>
    <row r="952" spans="13:17" x14ac:dyDescent="0.25">
      <c r="M952">
        <v>1999</v>
      </c>
      <c r="N952" t="s">
        <v>4</v>
      </c>
      <c r="O952" t="s">
        <v>58</v>
      </c>
      <c r="P952" t="s">
        <v>36</v>
      </c>
      <c r="Q952">
        <v>259</v>
      </c>
    </row>
    <row r="953" spans="13:17" x14ac:dyDescent="0.25">
      <c r="M953">
        <v>2000</v>
      </c>
      <c r="N953" t="s">
        <v>4</v>
      </c>
      <c r="O953" t="s">
        <v>58</v>
      </c>
      <c r="P953" t="s">
        <v>36</v>
      </c>
      <c r="Q953">
        <v>205</v>
      </c>
    </row>
    <row r="954" spans="13:17" x14ac:dyDescent="0.25">
      <c r="M954">
        <v>2001</v>
      </c>
      <c r="N954" t="s">
        <v>4</v>
      </c>
      <c r="O954" t="s">
        <v>58</v>
      </c>
      <c r="P954" t="s">
        <v>36</v>
      </c>
      <c r="Q954">
        <v>754</v>
      </c>
    </row>
    <row r="955" spans="13:17" x14ac:dyDescent="0.25">
      <c r="M955">
        <v>2002</v>
      </c>
      <c r="N955" t="s">
        <v>4</v>
      </c>
      <c r="O955" t="s">
        <v>58</v>
      </c>
      <c r="P955" t="s">
        <v>36</v>
      </c>
      <c r="Q955">
        <v>1149</v>
      </c>
    </row>
    <row r="956" spans="13:17" x14ac:dyDescent="0.25">
      <c r="M956">
        <v>2003</v>
      </c>
      <c r="N956" t="s">
        <v>4</v>
      </c>
      <c r="O956" t="s">
        <v>58</v>
      </c>
      <c r="P956" t="s">
        <v>36</v>
      </c>
      <c r="Q956">
        <v>1670</v>
      </c>
    </row>
    <row r="957" spans="13:17" x14ac:dyDescent="0.25">
      <c r="M957">
        <v>2004</v>
      </c>
      <c r="N957" t="s">
        <v>4</v>
      </c>
      <c r="O957" t="s">
        <v>58</v>
      </c>
      <c r="P957" t="s">
        <v>36</v>
      </c>
      <c r="Q957">
        <v>1954</v>
      </c>
    </row>
    <row r="958" spans="13:17" x14ac:dyDescent="0.25">
      <c r="M958">
        <v>2005</v>
      </c>
      <c r="N958" t="s">
        <v>4</v>
      </c>
      <c r="O958" t="s">
        <v>58</v>
      </c>
      <c r="P958" t="s">
        <v>36</v>
      </c>
      <c r="Q958">
        <v>1801</v>
      </c>
    </row>
    <row r="959" spans="13:17" x14ac:dyDescent="0.25">
      <c r="M959">
        <v>2006</v>
      </c>
      <c r="N959" t="s">
        <v>4</v>
      </c>
      <c r="O959" t="s">
        <v>58</v>
      </c>
      <c r="P959" t="s">
        <v>36</v>
      </c>
      <c r="Q959">
        <v>1455</v>
      </c>
    </row>
    <row r="960" spans="13:17" x14ac:dyDescent="0.25">
      <c r="M960">
        <v>2007</v>
      </c>
      <c r="N960" t="s">
        <v>4</v>
      </c>
      <c r="O960" t="s">
        <v>58</v>
      </c>
      <c r="P960" t="s">
        <v>36</v>
      </c>
      <c r="Q960">
        <v>1107</v>
      </c>
    </row>
    <row r="961" spans="13:17" x14ac:dyDescent="0.25">
      <c r="M961">
        <v>2008</v>
      </c>
      <c r="N961" t="s">
        <v>4</v>
      </c>
      <c r="O961" t="s">
        <v>58</v>
      </c>
      <c r="P961" t="s">
        <v>36</v>
      </c>
      <c r="Q961">
        <v>1370</v>
      </c>
    </row>
    <row r="962" spans="13:17" x14ac:dyDescent="0.25">
      <c r="M962">
        <v>2009</v>
      </c>
      <c r="N962" t="s">
        <v>4</v>
      </c>
      <c r="O962" t="s">
        <v>58</v>
      </c>
      <c r="P962" t="s">
        <v>36</v>
      </c>
      <c r="Q962">
        <v>1110</v>
      </c>
    </row>
    <row r="963" spans="13:17" x14ac:dyDescent="0.25">
      <c r="M963">
        <v>2010</v>
      </c>
      <c r="N963" t="s">
        <v>4</v>
      </c>
      <c r="O963" t="s">
        <v>58</v>
      </c>
      <c r="P963" t="s">
        <v>36</v>
      </c>
      <c r="Q963">
        <v>1200</v>
      </c>
    </row>
    <row r="964" spans="13:17" x14ac:dyDescent="0.25">
      <c r="M964">
        <v>2011</v>
      </c>
      <c r="N964" t="s">
        <v>4</v>
      </c>
      <c r="O964" t="s">
        <v>58</v>
      </c>
      <c r="P964" t="s">
        <v>36</v>
      </c>
      <c r="Q964">
        <v>640</v>
      </c>
    </row>
    <row r="965" spans="13:17" x14ac:dyDescent="0.25">
      <c r="M965">
        <v>2012</v>
      </c>
      <c r="N965" t="s">
        <v>4</v>
      </c>
      <c r="O965" t="s">
        <v>58</v>
      </c>
      <c r="P965" t="s">
        <v>36</v>
      </c>
      <c r="Q965">
        <v>802</v>
      </c>
    </row>
    <row r="966" spans="13:17" x14ac:dyDescent="0.25">
      <c r="M966">
        <v>2013</v>
      </c>
      <c r="N966" t="s">
        <v>4</v>
      </c>
      <c r="O966" t="s">
        <v>58</v>
      </c>
      <c r="P966" t="s">
        <v>36</v>
      </c>
      <c r="Q966">
        <v>770</v>
      </c>
    </row>
    <row r="967" spans="13:17" x14ac:dyDescent="0.25">
      <c r="M967">
        <v>2014</v>
      </c>
      <c r="N967" t="s">
        <v>4</v>
      </c>
      <c r="O967" t="s">
        <v>58</v>
      </c>
      <c r="P967" t="s">
        <v>36</v>
      </c>
      <c r="Q967">
        <v>770</v>
      </c>
    </row>
    <row r="968" spans="13:17" x14ac:dyDescent="0.25">
      <c r="M968">
        <v>2015</v>
      </c>
      <c r="N968" t="s">
        <v>4</v>
      </c>
      <c r="O968" t="s">
        <v>58</v>
      </c>
      <c r="P968" t="s">
        <v>36</v>
      </c>
      <c r="Q968">
        <v>480.4</v>
      </c>
    </row>
    <row r="969" spans="13:17" x14ac:dyDescent="0.25">
      <c r="M969">
        <v>2016</v>
      </c>
      <c r="N969" t="s">
        <v>4</v>
      </c>
      <c r="O969" t="s">
        <v>58</v>
      </c>
      <c r="P969" t="s">
        <v>36</v>
      </c>
      <c r="Q969">
        <v>1110</v>
      </c>
    </row>
    <row r="970" spans="13:17" x14ac:dyDescent="0.25">
      <c r="M970">
        <v>2017</v>
      </c>
      <c r="N970" t="s">
        <v>4</v>
      </c>
      <c r="O970" t="s">
        <v>58</v>
      </c>
      <c r="P970" t="s">
        <v>36</v>
      </c>
      <c r="Q970">
        <v>1000</v>
      </c>
    </row>
    <row r="971" spans="13:17" x14ac:dyDescent="0.25">
      <c r="M971">
        <v>2018</v>
      </c>
      <c r="N971" t="s">
        <v>4</v>
      </c>
      <c r="O971" t="s">
        <v>58</v>
      </c>
      <c r="P971" t="s">
        <v>36</v>
      </c>
      <c r="Q971">
        <v>1013</v>
      </c>
    </row>
    <row r="972" spans="13:17" x14ac:dyDescent="0.25">
      <c r="M972">
        <v>2019</v>
      </c>
      <c r="N972" t="s">
        <v>4</v>
      </c>
      <c r="O972" t="s">
        <v>58</v>
      </c>
      <c r="P972" t="s">
        <v>36</v>
      </c>
      <c r="Q972">
        <v>982.26</v>
      </c>
    </row>
    <row r="973" spans="13:17" x14ac:dyDescent="0.25">
      <c r="M973">
        <v>2020</v>
      </c>
      <c r="N973" t="s">
        <v>4</v>
      </c>
      <c r="O973" t="s">
        <v>58</v>
      </c>
      <c r="P973" t="s">
        <v>36</v>
      </c>
      <c r="Q973">
        <v>951</v>
      </c>
    </row>
    <row r="974" spans="13:17" x14ac:dyDescent="0.25">
      <c r="M974">
        <v>2021</v>
      </c>
      <c r="N974" t="s">
        <v>4</v>
      </c>
      <c r="O974" t="s">
        <v>58</v>
      </c>
      <c r="P974" t="s">
        <v>36</v>
      </c>
      <c r="Q974">
        <v>924.2</v>
      </c>
    </row>
    <row r="975" spans="13:17" x14ac:dyDescent="0.25">
      <c r="M975">
        <v>2022</v>
      </c>
      <c r="N975" t="s">
        <v>4</v>
      </c>
      <c r="O975" t="s">
        <v>58</v>
      </c>
      <c r="P975" t="s">
        <v>36</v>
      </c>
      <c r="Q975">
        <v>890.86</v>
      </c>
    </row>
    <row r="976" spans="13:17" x14ac:dyDescent="0.25">
      <c r="M976">
        <v>2023</v>
      </c>
      <c r="N976" t="s">
        <v>4</v>
      </c>
      <c r="O976" t="s">
        <v>58</v>
      </c>
      <c r="P976" t="s">
        <v>36</v>
      </c>
      <c r="Q976">
        <v>896.47</v>
      </c>
    </row>
    <row r="977" spans="13:17" x14ac:dyDescent="0.25">
      <c r="M977">
        <v>2024</v>
      </c>
      <c r="N977" t="s">
        <v>4</v>
      </c>
      <c r="O977" t="s">
        <v>58</v>
      </c>
      <c r="P977" t="s">
        <v>36</v>
      </c>
      <c r="Q977">
        <v>896.47</v>
      </c>
    </row>
    <row r="978" spans="13:17" x14ac:dyDescent="0.25">
      <c r="M978">
        <v>1980</v>
      </c>
      <c r="N978" t="s">
        <v>42</v>
      </c>
      <c r="O978" t="s">
        <v>58</v>
      </c>
      <c r="P978" t="s">
        <v>36</v>
      </c>
      <c r="Q978">
        <v>728</v>
      </c>
    </row>
    <row r="979" spans="13:17" x14ac:dyDescent="0.25">
      <c r="M979">
        <v>1981</v>
      </c>
      <c r="N979" t="s">
        <v>42</v>
      </c>
      <c r="O979" t="s">
        <v>58</v>
      </c>
      <c r="P979" t="s">
        <v>36</v>
      </c>
      <c r="Q979">
        <v>672</v>
      </c>
    </row>
    <row r="980" spans="13:17" x14ac:dyDescent="0.25">
      <c r="M980">
        <v>1982</v>
      </c>
      <c r="N980" t="s">
        <v>42</v>
      </c>
      <c r="O980" t="s">
        <v>58</v>
      </c>
      <c r="P980" t="s">
        <v>36</v>
      </c>
      <c r="Q980">
        <v>517</v>
      </c>
    </row>
    <row r="981" spans="13:17" x14ac:dyDescent="0.25">
      <c r="M981">
        <v>1983</v>
      </c>
      <c r="N981" t="s">
        <v>42</v>
      </c>
      <c r="O981" t="s">
        <v>58</v>
      </c>
      <c r="P981" t="s">
        <v>36</v>
      </c>
      <c r="Q981">
        <v>532</v>
      </c>
    </row>
    <row r="982" spans="13:17" x14ac:dyDescent="0.25">
      <c r="M982">
        <v>1984</v>
      </c>
      <c r="N982" t="s">
        <v>42</v>
      </c>
      <c r="O982" t="s">
        <v>58</v>
      </c>
      <c r="P982" t="s">
        <v>36</v>
      </c>
      <c r="Q982">
        <v>552</v>
      </c>
    </row>
    <row r="983" spans="13:17" x14ac:dyDescent="0.25">
      <c r="M983">
        <v>1985</v>
      </c>
      <c r="N983" t="s">
        <v>42</v>
      </c>
      <c r="O983" t="s">
        <v>58</v>
      </c>
      <c r="P983" t="s">
        <v>36</v>
      </c>
      <c r="Q983">
        <v>499</v>
      </c>
    </row>
    <row r="984" spans="13:17" x14ac:dyDescent="0.25">
      <c r="M984">
        <v>1986</v>
      </c>
      <c r="N984" t="s">
        <v>42</v>
      </c>
      <c r="O984" t="s">
        <v>58</v>
      </c>
      <c r="P984" t="s">
        <v>36</v>
      </c>
      <c r="Q984">
        <v>524</v>
      </c>
    </row>
    <row r="985" spans="13:17" x14ac:dyDescent="0.25">
      <c r="M985">
        <v>1987</v>
      </c>
      <c r="N985" t="s">
        <v>42</v>
      </c>
      <c r="O985" t="s">
        <v>58</v>
      </c>
      <c r="P985" t="s">
        <v>36</v>
      </c>
      <c r="Q985">
        <v>566</v>
      </c>
    </row>
    <row r="986" spans="13:17" x14ac:dyDescent="0.25">
      <c r="M986">
        <v>1988</v>
      </c>
      <c r="N986" t="s">
        <v>42</v>
      </c>
      <c r="O986" t="s">
        <v>58</v>
      </c>
      <c r="P986" t="s">
        <v>36</v>
      </c>
      <c r="Q986">
        <v>598</v>
      </c>
    </row>
    <row r="987" spans="13:17" x14ac:dyDescent="0.25">
      <c r="M987">
        <v>1989</v>
      </c>
      <c r="N987" t="s">
        <v>42</v>
      </c>
      <c r="O987" t="s">
        <v>58</v>
      </c>
      <c r="P987" t="s">
        <v>36</v>
      </c>
      <c r="Q987">
        <v>598</v>
      </c>
    </row>
    <row r="988" spans="13:17" x14ac:dyDescent="0.25">
      <c r="M988">
        <v>1990</v>
      </c>
      <c r="N988" t="s">
        <v>42</v>
      </c>
      <c r="O988" t="s">
        <v>58</v>
      </c>
      <c r="P988" t="s">
        <v>36</v>
      </c>
      <c r="Q988">
        <v>918</v>
      </c>
    </row>
    <row r="989" spans="13:17" x14ac:dyDescent="0.25">
      <c r="M989">
        <v>1991</v>
      </c>
      <c r="N989" t="s">
        <v>42</v>
      </c>
      <c r="O989" t="s">
        <v>58</v>
      </c>
      <c r="P989" t="s">
        <v>36</v>
      </c>
      <c r="Q989">
        <v>733</v>
      </c>
    </row>
    <row r="990" spans="13:17" x14ac:dyDescent="0.25">
      <c r="M990">
        <v>1992</v>
      </c>
      <c r="N990" t="s">
        <v>42</v>
      </c>
      <c r="O990" t="s">
        <v>58</v>
      </c>
      <c r="P990" t="s">
        <v>36</v>
      </c>
      <c r="Q990">
        <v>733</v>
      </c>
    </row>
    <row r="991" spans="13:17" x14ac:dyDescent="0.25">
      <c r="M991">
        <v>2007</v>
      </c>
      <c r="N991" t="s">
        <v>43</v>
      </c>
      <c r="O991" t="s">
        <v>58</v>
      </c>
      <c r="P991" t="s">
        <v>36</v>
      </c>
      <c r="Q991">
        <v>22.184999999999999</v>
      </c>
    </row>
    <row r="992" spans="13:17" x14ac:dyDescent="0.25">
      <c r="M992">
        <v>2008</v>
      </c>
      <c r="N992" t="s">
        <v>43</v>
      </c>
      <c r="O992" t="s">
        <v>58</v>
      </c>
      <c r="P992" t="s">
        <v>36</v>
      </c>
      <c r="Q992">
        <v>17.065999999999999</v>
      </c>
    </row>
    <row r="993" spans="13:17" x14ac:dyDescent="0.25">
      <c r="M993">
        <v>2012</v>
      </c>
      <c r="N993" t="s">
        <v>43</v>
      </c>
      <c r="O993" t="s">
        <v>58</v>
      </c>
      <c r="P993" t="s">
        <v>36</v>
      </c>
      <c r="Q993">
        <v>5.4</v>
      </c>
    </row>
    <row r="994" spans="13:17" x14ac:dyDescent="0.25">
      <c r="M994">
        <v>2013</v>
      </c>
      <c r="N994" t="s">
        <v>43</v>
      </c>
      <c r="O994" t="s">
        <v>58</v>
      </c>
      <c r="P994" t="s">
        <v>36</v>
      </c>
      <c r="Q994">
        <v>2.5</v>
      </c>
    </row>
    <row r="995" spans="13:17" x14ac:dyDescent="0.25">
      <c r="M995">
        <v>1970</v>
      </c>
      <c r="N995" t="s">
        <v>5</v>
      </c>
      <c r="O995" t="s">
        <v>58</v>
      </c>
      <c r="P995" t="s">
        <v>36</v>
      </c>
      <c r="Q995">
        <v>0</v>
      </c>
    </row>
    <row r="996" spans="13:17" x14ac:dyDescent="0.25">
      <c r="M996">
        <v>1971</v>
      </c>
      <c r="N996" t="s">
        <v>5</v>
      </c>
      <c r="O996" t="s">
        <v>58</v>
      </c>
      <c r="P996" t="s">
        <v>36</v>
      </c>
      <c r="Q996">
        <v>0</v>
      </c>
    </row>
    <row r="997" spans="13:17" x14ac:dyDescent="0.25">
      <c r="M997">
        <v>1972</v>
      </c>
      <c r="N997" t="s">
        <v>5</v>
      </c>
      <c r="O997" t="s">
        <v>58</v>
      </c>
      <c r="P997" t="s">
        <v>36</v>
      </c>
      <c r="Q997">
        <v>0</v>
      </c>
    </row>
    <row r="998" spans="13:17" x14ac:dyDescent="0.25">
      <c r="M998">
        <v>1973</v>
      </c>
      <c r="N998" t="s">
        <v>5</v>
      </c>
      <c r="O998" t="s">
        <v>58</v>
      </c>
      <c r="P998" t="s">
        <v>36</v>
      </c>
      <c r="Q998">
        <v>0</v>
      </c>
    </row>
    <row r="999" spans="13:17" x14ac:dyDescent="0.25">
      <c r="M999">
        <v>1974</v>
      </c>
      <c r="N999" t="s">
        <v>5</v>
      </c>
      <c r="O999" t="s">
        <v>58</v>
      </c>
      <c r="P999" t="s">
        <v>36</v>
      </c>
      <c r="Q999">
        <v>5</v>
      </c>
    </row>
    <row r="1000" spans="13:17" x14ac:dyDescent="0.25">
      <c r="M1000">
        <v>1975</v>
      </c>
      <c r="N1000" t="s">
        <v>5</v>
      </c>
      <c r="O1000" t="s">
        <v>58</v>
      </c>
      <c r="P1000" t="s">
        <v>36</v>
      </c>
      <c r="Q1000">
        <v>3</v>
      </c>
    </row>
    <row r="1001" spans="13:17" x14ac:dyDescent="0.25">
      <c r="M1001">
        <v>1976</v>
      </c>
      <c r="N1001" t="s">
        <v>5</v>
      </c>
      <c r="O1001" t="s">
        <v>58</v>
      </c>
      <c r="P1001" t="s">
        <v>36</v>
      </c>
      <c r="Q1001">
        <v>5</v>
      </c>
    </row>
    <row r="1002" spans="13:17" x14ac:dyDescent="0.25">
      <c r="M1002">
        <v>1977</v>
      </c>
      <c r="N1002" t="s">
        <v>5</v>
      </c>
      <c r="O1002" t="s">
        <v>58</v>
      </c>
      <c r="P1002" t="s">
        <v>36</v>
      </c>
      <c r="Q1002">
        <v>4.3330000000000002</v>
      </c>
    </row>
    <row r="1003" spans="13:17" x14ac:dyDescent="0.25">
      <c r="M1003">
        <v>1978</v>
      </c>
      <c r="N1003" t="s">
        <v>5</v>
      </c>
      <c r="O1003" t="s">
        <v>58</v>
      </c>
      <c r="P1003" t="s">
        <v>36</v>
      </c>
      <c r="Q1003">
        <v>4.1109999999999998</v>
      </c>
    </row>
    <row r="1004" spans="13:17" x14ac:dyDescent="0.25">
      <c r="M1004">
        <v>1979</v>
      </c>
      <c r="N1004" t="s">
        <v>5</v>
      </c>
      <c r="O1004" t="s">
        <v>58</v>
      </c>
      <c r="P1004" t="s">
        <v>36</v>
      </c>
      <c r="Q1004">
        <v>4.4820000000000002</v>
      </c>
    </row>
    <row r="1005" spans="13:17" x14ac:dyDescent="0.25">
      <c r="M1005">
        <v>1980</v>
      </c>
      <c r="N1005" t="s">
        <v>5</v>
      </c>
      <c r="O1005" t="s">
        <v>58</v>
      </c>
      <c r="P1005" t="s">
        <v>36</v>
      </c>
      <c r="Q1005">
        <v>4.3090000000000002</v>
      </c>
    </row>
    <row r="1006" spans="13:17" x14ac:dyDescent="0.25">
      <c r="M1006">
        <v>1981</v>
      </c>
      <c r="N1006" t="s">
        <v>5</v>
      </c>
      <c r="O1006" t="s">
        <v>58</v>
      </c>
      <c r="P1006" t="s">
        <v>36</v>
      </c>
      <c r="Q1006">
        <v>7</v>
      </c>
    </row>
    <row r="1007" spans="13:17" x14ac:dyDescent="0.25">
      <c r="M1007">
        <v>1982</v>
      </c>
      <c r="N1007" t="s">
        <v>5</v>
      </c>
      <c r="O1007" t="s">
        <v>58</v>
      </c>
      <c r="P1007" t="s">
        <v>36</v>
      </c>
      <c r="Q1007">
        <v>19</v>
      </c>
    </row>
    <row r="1008" spans="13:17" x14ac:dyDescent="0.25">
      <c r="M1008">
        <v>1983</v>
      </c>
      <c r="N1008" t="s">
        <v>5</v>
      </c>
      <c r="O1008" t="s">
        <v>58</v>
      </c>
      <c r="P1008" t="s">
        <v>36</v>
      </c>
      <c r="Q1008">
        <v>15</v>
      </c>
    </row>
    <row r="1009" spans="13:17" x14ac:dyDescent="0.25">
      <c r="M1009">
        <v>1984</v>
      </c>
      <c r="N1009" t="s">
        <v>5</v>
      </c>
      <c r="O1009" t="s">
        <v>58</v>
      </c>
      <c r="P1009" t="s">
        <v>36</v>
      </c>
      <c r="Q1009">
        <v>15</v>
      </c>
    </row>
    <row r="1010" spans="13:17" x14ac:dyDescent="0.25">
      <c r="M1010">
        <v>1985</v>
      </c>
      <c r="N1010" t="s">
        <v>5</v>
      </c>
      <c r="O1010" t="s">
        <v>58</v>
      </c>
      <c r="P1010" t="s">
        <v>36</v>
      </c>
      <c r="Q1010">
        <v>61</v>
      </c>
    </row>
    <row r="1011" spans="13:17" x14ac:dyDescent="0.25">
      <c r="M1011">
        <v>1986</v>
      </c>
      <c r="N1011" t="s">
        <v>5</v>
      </c>
      <c r="O1011" t="s">
        <v>58</v>
      </c>
      <c r="P1011" t="s">
        <v>36</v>
      </c>
      <c r="Q1011">
        <v>64</v>
      </c>
    </row>
    <row r="1012" spans="13:17" x14ac:dyDescent="0.25">
      <c r="M1012">
        <v>1987</v>
      </c>
      <c r="N1012" t="s">
        <v>5</v>
      </c>
      <c r="O1012" t="s">
        <v>58</v>
      </c>
      <c r="P1012" t="s">
        <v>36</v>
      </c>
      <c r="Q1012">
        <v>63</v>
      </c>
    </row>
    <row r="1013" spans="13:17" x14ac:dyDescent="0.25">
      <c r="M1013">
        <v>1988</v>
      </c>
      <c r="N1013" t="s">
        <v>5</v>
      </c>
      <c r="O1013" t="s">
        <v>58</v>
      </c>
      <c r="P1013" t="s">
        <v>36</v>
      </c>
      <c r="Q1013">
        <v>80</v>
      </c>
    </row>
    <row r="1014" spans="13:17" x14ac:dyDescent="0.25">
      <c r="M1014">
        <v>1989</v>
      </c>
      <c r="N1014" t="s">
        <v>5</v>
      </c>
      <c r="O1014" t="s">
        <v>58</v>
      </c>
      <c r="P1014" t="s">
        <v>36</v>
      </c>
      <c r="Q1014">
        <v>159</v>
      </c>
    </row>
    <row r="1015" spans="13:17" x14ac:dyDescent="0.25">
      <c r="M1015">
        <v>1990</v>
      </c>
      <c r="N1015" t="s">
        <v>5</v>
      </c>
      <c r="O1015" t="s">
        <v>58</v>
      </c>
      <c r="P1015" t="s">
        <v>36</v>
      </c>
      <c r="Q1015">
        <v>176</v>
      </c>
    </row>
    <row r="1016" spans="13:17" x14ac:dyDescent="0.25">
      <c r="M1016">
        <v>1991</v>
      </c>
      <c r="N1016" t="s">
        <v>5</v>
      </c>
      <c r="O1016" t="s">
        <v>58</v>
      </c>
      <c r="P1016" t="s">
        <v>36</v>
      </c>
      <c r="Q1016">
        <v>181</v>
      </c>
    </row>
    <row r="1017" spans="13:17" x14ac:dyDescent="0.25">
      <c r="M1017">
        <v>1992</v>
      </c>
      <c r="N1017" t="s">
        <v>5</v>
      </c>
      <c r="O1017" t="s">
        <v>58</v>
      </c>
      <c r="P1017" t="s">
        <v>36</v>
      </c>
      <c r="Q1017">
        <v>178</v>
      </c>
    </row>
    <row r="1018" spans="13:17" x14ac:dyDescent="0.25">
      <c r="M1018">
        <v>1993</v>
      </c>
      <c r="N1018" t="s">
        <v>5</v>
      </c>
      <c r="O1018" t="s">
        <v>58</v>
      </c>
      <c r="P1018" t="s">
        <v>36</v>
      </c>
      <c r="Q1018">
        <v>354</v>
      </c>
    </row>
    <row r="1019" spans="13:17" x14ac:dyDescent="0.25">
      <c r="M1019">
        <v>1994</v>
      </c>
      <c r="N1019" t="s">
        <v>5</v>
      </c>
      <c r="O1019" t="s">
        <v>58</v>
      </c>
      <c r="P1019" t="s">
        <v>36</v>
      </c>
      <c r="Q1019">
        <v>298</v>
      </c>
    </row>
    <row r="1020" spans="13:17" x14ac:dyDescent="0.25">
      <c r="M1020">
        <v>1995</v>
      </c>
      <c r="N1020" t="s">
        <v>5</v>
      </c>
      <c r="O1020" t="s">
        <v>58</v>
      </c>
      <c r="P1020" t="s">
        <v>36</v>
      </c>
      <c r="Q1020">
        <v>378</v>
      </c>
    </row>
    <row r="1021" spans="13:17" x14ac:dyDescent="0.25">
      <c r="M1021">
        <v>1996</v>
      </c>
      <c r="N1021" t="s">
        <v>5</v>
      </c>
      <c r="O1021" t="s">
        <v>58</v>
      </c>
      <c r="P1021" t="s">
        <v>36</v>
      </c>
      <c r="Q1021">
        <v>352</v>
      </c>
    </row>
    <row r="1022" spans="13:17" x14ac:dyDescent="0.25">
      <c r="M1022">
        <v>1997</v>
      </c>
      <c r="N1022" t="s">
        <v>5</v>
      </c>
      <c r="O1022" t="s">
        <v>58</v>
      </c>
      <c r="P1022" t="s">
        <v>36</v>
      </c>
      <c r="Q1022">
        <v>346</v>
      </c>
    </row>
    <row r="1023" spans="13:17" x14ac:dyDescent="0.25">
      <c r="M1023">
        <v>1998</v>
      </c>
      <c r="N1023" t="s">
        <v>5</v>
      </c>
      <c r="O1023" t="s">
        <v>58</v>
      </c>
      <c r="P1023" t="s">
        <v>36</v>
      </c>
      <c r="Q1023">
        <v>414</v>
      </c>
    </row>
    <row r="1024" spans="13:17" x14ac:dyDescent="0.25">
      <c r="M1024">
        <v>1999</v>
      </c>
      <c r="N1024" t="s">
        <v>5</v>
      </c>
      <c r="O1024" t="s">
        <v>58</v>
      </c>
      <c r="P1024" t="s">
        <v>36</v>
      </c>
      <c r="Q1024">
        <v>468</v>
      </c>
    </row>
    <row r="1025" spans="13:17" x14ac:dyDescent="0.25">
      <c r="M1025">
        <v>2000</v>
      </c>
      <c r="N1025" t="s">
        <v>5</v>
      </c>
      <c r="O1025" t="s">
        <v>58</v>
      </c>
      <c r="P1025" t="s">
        <v>36</v>
      </c>
      <c r="Q1025">
        <v>483</v>
      </c>
    </row>
    <row r="1026" spans="13:17" x14ac:dyDescent="0.25">
      <c r="M1026">
        <v>2001</v>
      </c>
      <c r="N1026" t="s">
        <v>5</v>
      </c>
      <c r="O1026" t="s">
        <v>58</v>
      </c>
      <c r="P1026" t="s">
        <v>36</v>
      </c>
      <c r="Q1026">
        <v>567</v>
      </c>
    </row>
    <row r="1027" spans="13:17" x14ac:dyDescent="0.25">
      <c r="M1027">
        <v>2002</v>
      </c>
      <c r="N1027" t="s">
        <v>5</v>
      </c>
      <c r="O1027" t="s">
        <v>58</v>
      </c>
      <c r="P1027" t="s">
        <v>36</v>
      </c>
      <c r="Q1027">
        <v>1138</v>
      </c>
    </row>
    <row r="1028" spans="13:17" x14ac:dyDescent="0.25">
      <c r="M1028">
        <v>2003</v>
      </c>
      <c r="N1028" t="s">
        <v>5</v>
      </c>
      <c r="O1028" t="s">
        <v>58</v>
      </c>
      <c r="P1028" t="s">
        <v>36</v>
      </c>
      <c r="Q1028">
        <v>285.00099999999998</v>
      </c>
    </row>
    <row r="1029" spans="13:17" x14ac:dyDescent="0.25">
      <c r="M1029">
        <v>2004</v>
      </c>
      <c r="N1029" t="s">
        <v>5</v>
      </c>
      <c r="O1029" t="s">
        <v>58</v>
      </c>
      <c r="P1029" t="s">
        <v>36</v>
      </c>
      <c r="Q1029">
        <v>791</v>
      </c>
    </row>
    <row r="1030" spans="13:17" x14ac:dyDescent="0.25">
      <c r="M1030">
        <v>2005</v>
      </c>
      <c r="N1030" t="s">
        <v>5</v>
      </c>
      <c r="O1030" t="s">
        <v>58</v>
      </c>
      <c r="P1030" t="s">
        <v>36</v>
      </c>
      <c r="Q1030">
        <v>791</v>
      </c>
    </row>
    <row r="1031" spans="13:17" x14ac:dyDescent="0.25">
      <c r="M1031">
        <v>2006</v>
      </c>
      <c r="N1031" t="s">
        <v>5</v>
      </c>
      <c r="O1031" t="s">
        <v>58</v>
      </c>
      <c r="P1031" t="s">
        <v>36</v>
      </c>
      <c r="Q1031">
        <v>949</v>
      </c>
    </row>
    <row r="1032" spans="13:17" x14ac:dyDescent="0.25">
      <c r="M1032">
        <v>2007</v>
      </c>
      <c r="N1032" t="s">
        <v>5</v>
      </c>
      <c r="O1032" t="s">
        <v>58</v>
      </c>
      <c r="P1032" t="s">
        <v>36</v>
      </c>
      <c r="Q1032">
        <v>1024</v>
      </c>
    </row>
    <row r="1033" spans="13:17" x14ac:dyDescent="0.25">
      <c r="M1033">
        <v>2008</v>
      </c>
      <c r="N1033" t="s">
        <v>5</v>
      </c>
      <c r="O1033" t="s">
        <v>58</v>
      </c>
      <c r="P1033" t="s">
        <v>36</v>
      </c>
      <c r="Q1033">
        <v>1011</v>
      </c>
    </row>
    <row r="1034" spans="13:17" x14ac:dyDescent="0.25">
      <c r="M1034">
        <v>2009</v>
      </c>
      <c r="N1034" t="s">
        <v>5</v>
      </c>
      <c r="O1034" t="s">
        <v>58</v>
      </c>
      <c r="P1034" t="s">
        <v>36</v>
      </c>
      <c r="Q1034">
        <v>1012</v>
      </c>
    </row>
    <row r="1035" spans="13:17" x14ac:dyDescent="0.25">
      <c r="M1035">
        <v>2010</v>
      </c>
      <c r="N1035" t="s">
        <v>5</v>
      </c>
      <c r="O1035" t="s">
        <v>58</v>
      </c>
      <c r="P1035" t="s">
        <v>36</v>
      </c>
      <c r="Q1035">
        <v>1016</v>
      </c>
    </row>
    <row r="1036" spans="13:17" x14ac:dyDescent="0.25">
      <c r="M1036">
        <v>2011</v>
      </c>
      <c r="N1036" t="s">
        <v>5</v>
      </c>
      <c r="O1036" t="s">
        <v>58</v>
      </c>
      <c r="P1036" t="s">
        <v>36</v>
      </c>
      <c r="Q1036">
        <v>1040</v>
      </c>
    </row>
    <row r="1037" spans="13:17" x14ac:dyDescent="0.25">
      <c r="M1037">
        <v>2012</v>
      </c>
      <c r="N1037" t="s">
        <v>5</v>
      </c>
      <c r="O1037" t="s">
        <v>58</v>
      </c>
      <c r="P1037" t="s">
        <v>36</v>
      </c>
      <c r="Q1037">
        <v>1038</v>
      </c>
    </row>
    <row r="1038" spans="13:17" x14ac:dyDescent="0.25">
      <c r="M1038">
        <v>2013</v>
      </c>
      <c r="N1038" t="s">
        <v>5</v>
      </c>
      <c r="O1038" t="s">
        <v>58</v>
      </c>
      <c r="P1038" t="s">
        <v>36</v>
      </c>
      <c r="Q1038">
        <v>1036</v>
      </c>
    </row>
    <row r="1039" spans="13:17" x14ac:dyDescent="0.25">
      <c r="M1039">
        <v>2014</v>
      </c>
      <c r="N1039" t="s">
        <v>5</v>
      </c>
      <c r="O1039" t="s">
        <v>58</v>
      </c>
      <c r="P1039" t="s">
        <v>36</v>
      </c>
      <c r="Q1039">
        <v>1030</v>
      </c>
    </row>
    <row r="1040" spans="13:17" x14ac:dyDescent="0.25">
      <c r="M1040">
        <v>2015</v>
      </c>
      <c r="N1040" t="s">
        <v>5</v>
      </c>
      <c r="O1040" t="s">
        <v>58</v>
      </c>
      <c r="P1040" t="s">
        <v>36</v>
      </c>
      <c r="Q1040">
        <v>1034</v>
      </c>
    </row>
    <row r="1041" spans="13:17" x14ac:dyDescent="0.25">
      <c r="M1041">
        <v>2016</v>
      </c>
      <c r="N1041" t="s">
        <v>5</v>
      </c>
      <c r="O1041" t="s">
        <v>58</v>
      </c>
      <c r="P1041" t="s">
        <v>36</v>
      </c>
      <c r="Q1041">
        <v>1007.0119999999999</v>
      </c>
    </row>
    <row r="1042" spans="13:17" x14ac:dyDescent="0.25">
      <c r="M1042">
        <v>2017</v>
      </c>
      <c r="N1042" t="s">
        <v>5</v>
      </c>
      <c r="O1042" t="s">
        <v>58</v>
      </c>
      <c r="P1042" t="s">
        <v>36</v>
      </c>
      <c r="Q1042">
        <v>1002.924</v>
      </c>
    </row>
    <row r="1043" spans="13:17" x14ac:dyDescent="0.25">
      <c r="M1043">
        <v>2018</v>
      </c>
      <c r="N1043" t="s">
        <v>5</v>
      </c>
      <c r="O1043" t="s">
        <v>58</v>
      </c>
      <c r="P1043" t="s">
        <v>36</v>
      </c>
      <c r="Q1043">
        <v>974</v>
      </c>
    </row>
    <row r="1044" spans="13:17" x14ac:dyDescent="0.25">
      <c r="M1044">
        <v>2019</v>
      </c>
      <c r="N1044" t="s">
        <v>5</v>
      </c>
      <c r="O1044" t="s">
        <v>58</v>
      </c>
      <c r="P1044" t="s">
        <v>36</v>
      </c>
      <c r="Q1044">
        <v>934</v>
      </c>
    </row>
    <row r="1045" spans="13:17" x14ac:dyDescent="0.25">
      <c r="M1045">
        <v>2020</v>
      </c>
      <c r="N1045" t="s">
        <v>5</v>
      </c>
      <c r="O1045" t="s">
        <v>58</v>
      </c>
      <c r="P1045" t="s">
        <v>36</v>
      </c>
      <c r="Q1045">
        <v>917.92</v>
      </c>
    </row>
    <row r="1046" spans="13:17" x14ac:dyDescent="0.25">
      <c r="M1046">
        <v>2021</v>
      </c>
      <c r="N1046" t="s">
        <v>5</v>
      </c>
      <c r="O1046" t="s">
        <v>58</v>
      </c>
      <c r="P1046" t="s">
        <v>36</v>
      </c>
      <c r="Q1046">
        <v>890.66</v>
      </c>
    </row>
    <row r="1047" spans="13:17" x14ac:dyDescent="0.25">
      <c r="M1047">
        <v>2022</v>
      </c>
      <c r="N1047" t="s">
        <v>5</v>
      </c>
      <c r="O1047" t="s">
        <v>58</v>
      </c>
      <c r="P1047" t="s">
        <v>36</v>
      </c>
      <c r="Q1047">
        <v>857.22699999999998</v>
      </c>
    </row>
    <row r="1048" spans="13:17" x14ac:dyDescent="0.25">
      <c r="M1048">
        <v>2023</v>
      </c>
      <c r="N1048" t="s">
        <v>5</v>
      </c>
      <c r="O1048" t="s">
        <v>58</v>
      </c>
      <c r="P1048" t="s">
        <v>36</v>
      </c>
      <c r="Q1048">
        <v>733.221</v>
      </c>
    </row>
    <row r="1049" spans="13:17" x14ac:dyDescent="0.25">
      <c r="M1049">
        <v>2024</v>
      </c>
      <c r="N1049" t="s">
        <v>5</v>
      </c>
      <c r="O1049" t="s">
        <v>58</v>
      </c>
      <c r="P1049" t="s">
        <v>36</v>
      </c>
      <c r="Q1049">
        <v>798.51531999999997</v>
      </c>
    </row>
    <row r="1050" spans="13:17" x14ac:dyDescent="0.25">
      <c r="M1050">
        <v>2022</v>
      </c>
      <c r="N1050" t="s">
        <v>2</v>
      </c>
      <c r="O1050" t="s">
        <v>59</v>
      </c>
      <c r="P1050" t="s">
        <v>36</v>
      </c>
      <c r="Q1050">
        <v>7.5773299999999999</v>
      </c>
    </row>
    <row r="1051" spans="13:17" x14ac:dyDescent="0.25">
      <c r="M1051">
        <v>2023</v>
      </c>
      <c r="N1051" t="s">
        <v>2</v>
      </c>
      <c r="O1051" t="s">
        <v>59</v>
      </c>
      <c r="P1051" t="s">
        <v>36</v>
      </c>
      <c r="Q1051">
        <v>2.2450000000000001</v>
      </c>
    </row>
    <row r="1052" spans="13:17" x14ac:dyDescent="0.25">
      <c r="M1052">
        <v>2024</v>
      </c>
      <c r="N1052" t="s">
        <v>2</v>
      </c>
      <c r="O1052" t="s">
        <v>59</v>
      </c>
      <c r="P1052" t="s">
        <v>36</v>
      </c>
      <c r="Q1052">
        <v>2.786</v>
      </c>
    </row>
    <row r="1053" spans="13:17" x14ac:dyDescent="0.25">
      <c r="M1053">
        <v>2012</v>
      </c>
      <c r="N1053" t="s">
        <v>8</v>
      </c>
      <c r="O1053" t="s">
        <v>59</v>
      </c>
      <c r="P1053" t="s">
        <v>36</v>
      </c>
      <c r="Q1053">
        <v>13.202</v>
      </c>
    </row>
    <row r="1054" spans="13:17" x14ac:dyDescent="0.25">
      <c r="M1054">
        <v>2015</v>
      </c>
      <c r="N1054" t="s">
        <v>8</v>
      </c>
      <c r="O1054" t="s">
        <v>59</v>
      </c>
      <c r="P1054" t="s">
        <v>36</v>
      </c>
      <c r="Q1054">
        <v>0</v>
      </c>
    </row>
    <row r="1055" spans="13:17" x14ac:dyDescent="0.25">
      <c r="M1055">
        <v>2017</v>
      </c>
      <c r="N1055" t="s">
        <v>8</v>
      </c>
      <c r="O1055" t="s">
        <v>59</v>
      </c>
      <c r="P1055" t="s">
        <v>36</v>
      </c>
      <c r="Q1055">
        <v>1.0249999999999999</v>
      </c>
    </row>
    <row r="1056" spans="13:17" x14ac:dyDescent="0.25">
      <c r="M1056">
        <v>2018</v>
      </c>
      <c r="N1056" t="s">
        <v>8</v>
      </c>
      <c r="O1056" t="s">
        <v>59</v>
      </c>
      <c r="P1056" t="s">
        <v>36</v>
      </c>
      <c r="Q1056">
        <v>1.992</v>
      </c>
    </row>
    <row r="1057" spans="13:17" x14ac:dyDescent="0.25">
      <c r="M1057">
        <v>2022</v>
      </c>
      <c r="N1057" t="s">
        <v>8</v>
      </c>
      <c r="O1057" t="s">
        <v>59</v>
      </c>
      <c r="P1057" t="s">
        <v>36</v>
      </c>
      <c r="Q1057">
        <v>2.9</v>
      </c>
    </row>
    <row r="1058" spans="13:17" x14ac:dyDescent="0.25">
      <c r="M1058">
        <v>2023</v>
      </c>
      <c r="N1058" t="s">
        <v>8</v>
      </c>
      <c r="O1058" t="s">
        <v>59</v>
      </c>
      <c r="P1058" t="s">
        <v>36</v>
      </c>
      <c r="Q1058">
        <v>2.9</v>
      </c>
    </row>
    <row r="1059" spans="13:17" x14ac:dyDescent="0.25">
      <c r="M1059">
        <v>2024</v>
      </c>
      <c r="N1059" t="s">
        <v>8</v>
      </c>
      <c r="O1059" t="s">
        <v>59</v>
      </c>
      <c r="P1059" t="s">
        <v>36</v>
      </c>
      <c r="Q1059">
        <v>1.93333</v>
      </c>
    </row>
    <row r="1060" spans="13:17" x14ac:dyDescent="0.25">
      <c r="M1060">
        <v>2004</v>
      </c>
      <c r="N1060" t="s">
        <v>6</v>
      </c>
      <c r="O1060" t="s">
        <v>59</v>
      </c>
      <c r="P1060" t="s">
        <v>36</v>
      </c>
      <c r="Q1060">
        <v>45</v>
      </c>
    </row>
    <row r="1061" spans="13:17" x14ac:dyDescent="0.25">
      <c r="M1061">
        <v>2005</v>
      </c>
      <c r="N1061" t="s">
        <v>6</v>
      </c>
      <c r="O1061" t="s">
        <v>59</v>
      </c>
      <c r="P1061" t="s">
        <v>36</v>
      </c>
      <c r="Q1061">
        <v>56</v>
      </c>
    </row>
    <row r="1062" spans="13:17" x14ac:dyDescent="0.25">
      <c r="M1062">
        <v>2006</v>
      </c>
      <c r="N1062" t="s">
        <v>6</v>
      </c>
      <c r="O1062" t="s">
        <v>59</v>
      </c>
      <c r="P1062" t="s">
        <v>36</v>
      </c>
      <c r="Q1062">
        <v>47</v>
      </c>
    </row>
    <row r="1063" spans="13:17" x14ac:dyDescent="0.25">
      <c r="M1063">
        <v>2007</v>
      </c>
      <c r="N1063" t="s">
        <v>6</v>
      </c>
      <c r="O1063" t="s">
        <v>59</v>
      </c>
      <c r="P1063" t="s">
        <v>36</v>
      </c>
      <c r="Q1063">
        <v>0.64</v>
      </c>
    </row>
    <row r="1064" spans="13:17" x14ac:dyDescent="0.25">
      <c r="M1064">
        <v>2011</v>
      </c>
      <c r="N1064" t="s">
        <v>6</v>
      </c>
      <c r="O1064" t="s">
        <v>59</v>
      </c>
      <c r="P1064" t="s">
        <v>36</v>
      </c>
      <c r="Q1064">
        <v>1.33</v>
      </c>
    </row>
    <row r="1065" spans="13:17" x14ac:dyDescent="0.25">
      <c r="M1065">
        <v>2012</v>
      </c>
      <c r="N1065" t="s">
        <v>6</v>
      </c>
      <c r="O1065" t="s">
        <v>59</v>
      </c>
      <c r="P1065" t="s">
        <v>36</v>
      </c>
      <c r="Q1065">
        <v>16.969000000000001</v>
      </c>
    </row>
    <row r="1066" spans="13:17" x14ac:dyDescent="0.25">
      <c r="M1066">
        <v>2013</v>
      </c>
      <c r="N1066" t="s">
        <v>6</v>
      </c>
      <c r="O1066" t="s">
        <v>59</v>
      </c>
      <c r="P1066" t="s">
        <v>36</v>
      </c>
      <c r="Q1066">
        <v>1.3</v>
      </c>
    </row>
    <row r="1067" spans="13:17" x14ac:dyDescent="0.25">
      <c r="M1067">
        <v>2014</v>
      </c>
      <c r="N1067" t="s">
        <v>6</v>
      </c>
      <c r="O1067" t="s">
        <v>59</v>
      </c>
      <c r="P1067" t="s">
        <v>36</v>
      </c>
      <c r="Q1067">
        <v>0.13</v>
      </c>
    </row>
    <row r="1068" spans="13:17" x14ac:dyDescent="0.25">
      <c r="M1068">
        <v>2015</v>
      </c>
      <c r="N1068" t="s">
        <v>6</v>
      </c>
      <c r="O1068" t="s">
        <v>59</v>
      </c>
      <c r="P1068" t="s">
        <v>36</v>
      </c>
      <c r="Q1068">
        <v>0.184</v>
      </c>
    </row>
    <row r="1069" spans="13:17" x14ac:dyDescent="0.25">
      <c r="M1069">
        <v>2016</v>
      </c>
      <c r="N1069" t="s">
        <v>6</v>
      </c>
      <c r="O1069" t="s">
        <v>59</v>
      </c>
      <c r="P1069" t="s">
        <v>36</v>
      </c>
      <c r="Q1069">
        <v>2.3050000000000002</v>
      </c>
    </row>
    <row r="1070" spans="13:17" x14ac:dyDescent="0.25">
      <c r="M1070">
        <v>2019</v>
      </c>
      <c r="N1070" t="s">
        <v>6</v>
      </c>
      <c r="O1070" t="s">
        <v>59</v>
      </c>
      <c r="P1070" t="s">
        <v>36</v>
      </c>
      <c r="Q1070">
        <v>0</v>
      </c>
    </row>
    <row r="1071" spans="13:17" x14ac:dyDescent="0.25">
      <c r="M1071">
        <v>2020</v>
      </c>
      <c r="N1071" t="s">
        <v>6</v>
      </c>
      <c r="O1071" t="s">
        <v>59</v>
      </c>
      <c r="P1071" t="s">
        <v>36</v>
      </c>
      <c r="Q1071">
        <v>0</v>
      </c>
    </row>
    <row r="1072" spans="13:17" x14ac:dyDescent="0.25">
      <c r="M1072">
        <v>2021</v>
      </c>
      <c r="N1072" t="s">
        <v>6</v>
      </c>
      <c r="O1072" t="s">
        <v>59</v>
      </c>
      <c r="P1072" t="s">
        <v>36</v>
      </c>
      <c r="Q1072">
        <v>0</v>
      </c>
    </row>
    <row r="1073" spans="13:17" x14ac:dyDescent="0.25">
      <c r="M1073">
        <v>2009</v>
      </c>
      <c r="N1073" t="s">
        <v>12</v>
      </c>
      <c r="O1073" t="s">
        <v>59</v>
      </c>
      <c r="P1073" t="s">
        <v>36</v>
      </c>
      <c r="Q1073">
        <v>1.738</v>
      </c>
    </row>
    <row r="1074" spans="13:17" x14ac:dyDescent="0.25">
      <c r="M1074">
        <v>2010</v>
      </c>
      <c r="N1074" t="s">
        <v>12</v>
      </c>
      <c r="O1074" t="s">
        <v>59</v>
      </c>
      <c r="P1074" t="s">
        <v>36</v>
      </c>
      <c r="Q1074">
        <v>2.577</v>
      </c>
    </row>
    <row r="1075" spans="13:17" x14ac:dyDescent="0.25">
      <c r="M1075">
        <v>2011</v>
      </c>
      <c r="N1075" t="s">
        <v>12</v>
      </c>
      <c r="O1075" t="s">
        <v>59</v>
      </c>
      <c r="P1075" t="s">
        <v>36</v>
      </c>
      <c r="Q1075">
        <v>0.98599999999999999</v>
      </c>
    </row>
    <row r="1076" spans="13:17" x14ac:dyDescent="0.25">
      <c r="M1076">
        <v>2012</v>
      </c>
      <c r="N1076" t="s">
        <v>12</v>
      </c>
      <c r="O1076" t="s">
        <v>59</v>
      </c>
      <c r="P1076" t="s">
        <v>36</v>
      </c>
      <c r="Q1076">
        <v>0</v>
      </c>
    </row>
    <row r="1077" spans="13:17" x14ac:dyDescent="0.25">
      <c r="M1077">
        <v>2013</v>
      </c>
      <c r="N1077" t="s">
        <v>12</v>
      </c>
      <c r="O1077" t="s">
        <v>59</v>
      </c>
      <c r="P1077" t="s">
        <v>36</v>
      </c>
      <c r="Q1077">
        <v>0.60699999999999998</v>
      </c>
    </row>
    <row r="1078" spans="13:17" x14ac:dyDescent="0.25">
      <c r="M1078">
        <v>2014</v>
      </c>
      <c r="N1078" t="s">
        <v>12</v>
      </c>
      <c r="O1078" t="s">
        <v>59</v>
      </c>
      <c r="P1078" t="s">
        <v>36</v>
      </c>
      <c r="Q1078">
        <v>0.1318</v>
      </c>
    </row>
    <row r="1079" spans="13:17" x14ac:dyDescent="0.25">
      <c r="M1079">
        <v>2015</v>
      </c>
      <c r="N1079" t="s">
        <v>12</v>
      </c>
      <c r="O1079" t="s">
        <v>59</v>
      </c>
      <c r="P1079" t="s">
        <v>36</v>
      </c>
      <c r="Q1079">
        <v>5.67E-2</v>
      </c>
    </row>
    <row r="1080" spans="13:17" x14ac:dyDescent="0.25">
      <c r="M1080">
        <v>2016</v>
      </c>
      <c r="N1080" t="s">
        <v>12</v>
      </c>
      <c r="O1080" t="s">
        <v>59</v>
      </c>
      <c r="P1080" t="s">
        <v>36</v>
      </c>
      <c r="Q1080">
        <v>6.4000000000000001E-2</v>
      </c>
    </row>
    <row r="1081" spans="13:17" x14ac:dyDescent="0.25">
      <c r="M1081">
        <v>2018</v>
      </c>
      <c r="N1081" t="s">
        <v>12</v>
      </c>
      <c r="O1081" t="s">
        <v>59</v>
      </c>
      <c r="P1081" t="s">
        <v>36</v>
      </c>
      <c r="Q1081">
        <v>1.2E-2</v>
      </c>
    </row>
    <row r="1082" spans="13:17" x14ac:dyDescent="0.25">
      <c r="M1082">
        <v>2021</v>
      </c>
      <c r="N1082" t="s">
        <v>12</v>
      </c>
      <c r="O1082" t="s">
        <v>59</v>
      </c>
      <c r="P1082" t="s">
        <v>36</v>
      </c>
      <c r="Q1082">
        <v>0.10736</v>
      </c>
    </row>
    <row r="1083" spans="13:17" x14ac:dyDescent="0.25">
      <c r="M1083">
        <v>2022</v>
      </c>
      <c r="N1083" t="s">
        <v>12</v>
      </c>
      <c r="O1083" t="s">
        <v>59</v>
      </c>
      <c r="P1083" t="s">
        <v>36</v>
      </c>
      <c r="Q1083">
        <v>0.10704</v>
      </c>
    </row>
    <row r="1084" spans="13:17" x14ac:dyDescent="0.25">
      <c r="M1084">
        <v>2023</v>
      </c>
      <c r="N1084" t="s">
        <v>12</v>
      </c>
      <c r="O1084" t="s">
        <v>59</v>
      </c>
      <c r="P1084" t="s">
        <v>36</v>
      </c>
      <c r="Q1084">
        <v>0.26168000000000002</v>
      </c>
    </row>
    <row r="1085" spans="13:17" x14ac:dyDescent="0.25">
      <c r="M1085">
        <v>2024</v>
      </c>
      <c r="N1085" t="s">
        <v>12</v>
      </c>
      <c r="O1085" t="s">
        <v>59</v>
      </c>
      <c r="P1085" t="s">
        <v>36</v>
      </c>
      <c r="Q1085">
        <v>1.2404599999999999</v>
      </c>
    </row>
    <row r="1086" spans="13:17" x14ac:dyDescent="0.25">
      <c r="M1086">
        <v>1991</v>
      </c>
      <c r="N1086" t="s">
        <v>11</v>
      </c>
      <c r="O1086" t="s">
        <v>59</v>
      </c>
      <c r="P1086" t="s">
        <v>36</v>
      </c>
      <c r="Q1086">
        <v>0</v>
      </c>
    </row>
    <row r="1087" spans="13:17" x14ac:dyDescent="0.25">
      <c r="M1087">
        <v>1992</v>
      </c>
      <c r="N1087" t="s">
        <v>11</v>
      </c>
      <c r="O1087" t="s">
        <v>59</v>
      </c>
      <c r="P1087" t="s">
        <v>36</v>
      </c>
      <c r="Q1087">
        <v>0</v>
      </c>
    </row>
    <row r="1088" spans="13:17" x14ac:dyDescent="0.25">
      <c r="M1088">
        <v>1993</v>
      </c>
      <c r="N1088" t="s">
        <v>11</v>
      </c>
      <c r="O1088" t="s">
        <v>59</v>
      </c>
      <c r="P1088" t="s">
        <v>36</v>
      </c>
      <c r="Q1088">
        <v>0</v>
      </c>
    </row>
    <row r="1089" spans="13:17" x14ac:dyDescent="0.25">
      <c r="M1089">
        <v>1995</v>
      </c>
      <c r="N1089" t="s">
        <v>11</v>
      </c>
      <c r="O1089" t="s">
        <v>59</v>
      </c>
      <c r="P1089" t="s">
        <v>36</v>
      </c>
      <c r="Q1089">
        <v>0.1</v>
      </c>
    </row>
    <row r="1090" spans="13:17" x14ac:dyDescent="0.25">
      <c r="M1090">
        <v>2009</v>
      </c>
      <c r="N1090" t="s">
        <v>11</v>
      </c>
      <c r="O1090" t="s">
        <v>59</v>
      </c>
      <c r="P1090" t="s">
        <v>36</v>
      </c>
      <c r="Q1090">
        <v>2.7E-2</v>
      </c>
    </row>
    <row r="1091" spans="13:17" x14ac:dyDescent="0.25">
      <c r="M1091">
        <v>2010</v>
      </c>
      <c r="N1091" t="s">
        <v>11</v>
      </c>
      <c r="O1091" t="s">
        <v>59</v>
      </c>
      <c r="P1091" t="s">
        <v>36</v>
      </c>
      <c r="Q1091">
        <v>0.25</v>
      </c>
    </row>
    <row r="1092" spans="13:17" x14ac:dyDescent="0.25">
      <c r="M1092">
        <v>2014</v>
      </c>
      <c r="N1092" t="s">
        <v>11</v>
      </c>
      <c r="O1092" t="s">
        <v>59</v>
      </c>
      <c r="P1092" t="s">
        <v>36</v>
      </c>
      <c r="Q1092">
        <v>1.3299999999999999E-2</v>
      </c>
    </row>
    <row r="1093" spans="13:17" x14ac:dyDescent="0.25">
      <c r="M1093">
        <v>2015</v>
      </c>
      <c r="N1093" t="s">
        <v>11</v>
      </c>
      <c r="O1093" t="s">
        <v>59</v>
      </c>
      <c r="P1093" t="s">
        <v>36</v>
      </c>
      <c r="Q1093">
        <v>0.13436999999999999</v>
      </c>
    </row>
    <row r="1094" spans="13:17" x14ac:dyDescent="0.25">
      <c r="M1094">
        <v>2016</v>
      </c>
      <c r="N1094" t="s">
        <v>11</v>
      </c>
      <c r="O1094" t="s">
        <v>59</v>
      </c>
      <c r="P1094" t="s">
        <v>36</v>
      </c>
      <c r="Q1094">
        <v>3.2000000000000001E-2</v>
      </c>
    </row>
    <row r="1095" spans="13:17" x14ac:dyDescent="0.25">
      <c r="M1095">
        <v>2020</v>
      </c>
      <c r="N1095" t="s">
        <v>11</v>
      </c>
      <c r="O1095" t="s">
        <v>59</v>
      </c>
      <c r="P1095" t="s">
        <v>36</v>
      </c>
      <c r="Q1095">
        <v>0.16200000000000001</v>
      </c>
    </row>
    <row r="1096" spans="13:17" x14ac:dyDescent="0.25">
      <c r="M1096">
        <v>2005</v>
      </c>
      <c r="N1096" t="s">
        <v>1</v>
      </c>
      <c r="O1096" t="s">
        <v>59</v>
      </c>
      <c r="P1096" t="s">
        <v>36</v>
      </c>
      <c r="Q1096">
        <v>0</v>
      </c>
    </row>
    <row r="1097" spans="13:17" x14ac:dyDescent="0.25">
      <c r="M1097">
        <v>2007</v>
      </c>
      <c r="N1097" t="s">
        <v>1</v>
      </c>
      <c r="O1097" t="s">
        <v>59</v>
      </c>
      <c r="P1097" t="s">
        <v>36</v>
      </c>
      <c r="Q1097">
        <v>6.61</v>
      </c>
    </row>
    <row r="1098" spans="13:17" x14ac:dyDescent="0.25">
      <c r="M1098">
        <v>2008</v>
      </c>
      <c r="N1098" t="s">
        <v>1</v>
      </c>
      <c r="O1098" t="s">
        <v>59</v>
      </c>
      <c r="P1098" t="s">
        <v>36</v>
      </c>
      <c r="Q1098">
        <v>0.30314000000000002</v>
      </c>
    </row>
    <row r="1099" spans="13:17" x14ac:dyDescent="0.25">
      <c r="M1099">
        <v>2009</v>
      </c>
      <c r="N1099" t="s">
        <v>1</v>
      </c>
      <c r="O1099" t="s">
        <v>59</v>
      </c>
      <c r="P1099" t="s">
        <v>36</v>
      </c>
      <c r="Q1099">
        <v>0.13736999999999999</v>
      </c>
    </row>
    <row r="1100" spans="13:17" x14ac:dyDescent="0.25">
      <c r="M1100">
        <v>2011</v>
      </c>
      <c r="N1100" t="s">
        <v>1</v>
      </c>
      <c r="O1100" t="s">
        <v>59</v>
      </c>
      <c r="P1100" t="s">
        <v>36</v>
      </c>
      <c r="Q1100">
        <v>0.23802000000000001</v>
      </c>
    </row>
    <row r="1101" spans="13:17" x14ac:dyDescent="0.25">
      <c r="M1101">
        <v>2013</v>
      </c>
      <c r="N1101" t="s">
        <v>1</v>
      </c>
      <c r="O1101" t="s">
        <v>59</v>
      </c>
      <c r="P1101" t="s">
        <v>36</v>
      </c>
      <c r="Q1101">
        <v>9.5170600000000007</v>
      </c>
    </row>
    <row r="1102" spans="13:17" x14ac:dyDescent="0.25">
      <c r="M1102">
        <v>2014</v>
      </c>
      <c r="N1102" t="s">
        <v>1</v>
      </c>
      <c r="O1102" t="s">
        <v>59</v>
      </c>
      <c r="P1102" t="s">
        <v>36</v>
      </c>
      <c r="Q1102">
        <v>6.8303000000000003</v>
      </c>
    </row>
    <row r="1103" spans="13:17" x14ac:dyDescent="0.25">
      <c r="M1103">
        <v>2015</v>
      </c>
      <c r="N1103" t="s">
        <v>1</v>
      </c>
      <c r="O1103" t="s">
        <v>59</v>
      </c>
      <c r="P1103" t="s">
        <v>36</v>
      </c>
      <c r="Q1103">
        <v>18.340699999999998</v>
      </c>
    </row>
    <row r="1104" spans="13:17" x14ac:dyDescent="0.25">
      <c r="M1104">
        <v>2016</v>
      </c>
      <c r="N1104" t="s">
        <v>1</v>
      </c>
      <c r="O1104" t="s">
        <v>59</v>
      </c>
      <c r="P1104" t="s">
        <v>36</v>
      </c>
      <c r="Q1104">
        <v>14.58301</v>
      </c>
    </row>
    <row r="1105" spans="13:17" x14ac:dyDescent="0.25">
      <c r="M1105">
        <v>2017</v>
      </c>
      <c r="N1105" t="s">
        <v>1</v>
      </c>
      <c r="O1105" t="s">
        <v>59</v>
      </c>
      <c r="P1105" t="s">
        <v>36</v>
      </c>
      <c r="Q1105">
        <v>10.20964</v>
      </c>
    </row>
    <row r="1106" spans="13:17" x14ac:dyDescent="0.25">
      <c r="M1106">
        <v>2018</v>
      </c>
      <c r="N1106" t="s">
        <v>1</v>
      </c>
      <c r="O1106" t="s">
        <v>59</v>
      </c>
      <c r="P1106" t="s">
        <v>36</v>
      </c>
      <c r="Q1106">
        <v>15.11979</v>
      </c>
    </row>
    <row r="1107" spans="13:17" x14ac:dyDescent="0.25">
      <c r="M1107">
        <v>2019</v>
      </c>
      <c r="N1107" t="s">
        <v>1</v>
      </c>
      <c r="O1107" t="s">
        <v>59</v>
      </c>
      <c r="P1107" t="s">
        <v>36</v>
      </c>
      <c r="Q1107">
        <v>0.92100000000000004</v>
      </c>
    </row>
    <row r="1108" spans="13:17" x14ac:dyDescent="0.25">
      <c r="M1108">
        <v>2020</v>
      </c>
      <c r="N1108" t="s">
        <v>1</v>
      </c>
      <c r="O1108" t="s">
        <v>59</v>
      </c>
      <c r="P1108" t="s">
        <v>36</v>
      </c>
      <c r="Q1108">
        <v>0.49299999999999999</v>
      </c>
    </row>
    <row r="1109" spans="13:17" x14ac:dyDescent="0.25">
      <c r="M1109">
        <v>2022</v>
      </c>
      <c r="N1109" t="s">
        <v>1</v>
      </c>
      <c r="O1109" t="s">
        <v>59</v>
      </c>
      <c r="P1109" t="s">
        <v>36</v>
      </c>
      <c r="Q1109">
        <v>1.665</v>
      </c>
    </row>
    <row r="1110" spans="13:17" x14ac:dyDescent="0.25">
      <c r="M1110">
        <v>2023</v>
      </c>
      <c r="N1110" t="s">
        <v>1</v>
      </c>
      <c r="O1110" t="s">
        <v>59</v>
      </c>
      <c r="P1110" t="s">
        <v>36</v>
      </c>
      <c r="Q1110">
        <v>0</v>
      </c>
    </row>
    <row r="1111" spans="13:17" x14ac:dyDescent="0.25">
      <c r="M1111">
        <v>2024</v>
      </c>
      <c r="N1111" t="s">
        <v>1</v>
      </c>
      <c r="O1111" t="s">
        <v>59</v>
      </c>
      <c r="P1111" t="s">
        <v>36</v>
      </c>
      <c r="Q1111">
        <v>0</v>
      </c>
    </row>
    <row r="1112" spans="13:17" x14ac:dyDescent="0.25">
      <c r="M1112">
        <v>2016</v>
      </c>
      <c r="N1112" t="s">
        <v>7</v>
      </c>
      <c r="O1112" t="s">
        <v>59</v>
      </c>
      <c r="P1112" t="s">
        <v>36</v>
      </c>
      <c r="Q1112">
        <v>0.02</v>
      </c>
    </row>
    <row r="1113" spans="13:17" x14ac:dyDescent="0.25">
      <c r="M1113">
        <v>2019</v>
      </c>
      <c r="N1113" t="s">
        <v>7</v>
      </c>
      <c r="O1113" t="s">
        <v>59</v>
      </c>
      <c r="P1113" t="s">
        <v>36</v>
      </c>
      <c r="Q1113">
        <v>0.01</v>
      </c>
    </row>
    <row r="1114" spans="13:17" x14ac:dyDescent="0.25">
      <c r="M1114">
        <v>2022</v>
      </c>
      <c r="N1114" t="s">
        <v>7</v>
      </c>
      <c r="O1114" t="s">
        <v>59</v>
      </c>
      <c r="P1114" t="s">
        <v>36</v>
      </c>
      <c r="Q1114">
        <v>1.4200000000000001E-2</v>
      </c>
    </row>
    <row r="1115" spans="13:17" x14ac:dyDescent="0.25">
      <c r="M1115">
        <v>2023</v>
      </c>
      <c r="N1115" t="s">
        <v>7</v>
      </c>
      <c r="O1115" t="s">
        <v>59</v>
      </c>
      <c r="P1115" t="s">
        <v>36</v>
      </c>
      <c r="Q1115">
        <v>1.4200000000000001E-2</v>
      </c>
    </row>
    <row r="1116" spans="13:17" x14ac:dyDescent="0.25">
      <c r="M1116">
        <v>2024</v>
      </c>
      <c r="N1116" t="s">
        <v>7</v>
      </c>
      <c r="O1116" t="s">
        <v>59</v>
      </c>
      <c r="P1116" t="s">
        <v>36</v>
      </c>
      <c r="Q1116">
        <v>9.4699999999999993E-3</v>
      </c>
    </row>
    <row r="1117" spans="13:17" x14ac:dyDescent="0.25">
      <c r="M1117">
        <v>1992</v>
      </c>
      <c r="N1117" t="s">
        <v>4</v>
      </c>
      <c r="O1117" t="s">
        <v>59</v>
      </c>
      <c r="P1117" t="s">
        <v>36</v>
      </c>
      <c r="Q1117">
        <v>0</v>
      </c>
    </row>
    <row r="1118" spans="13:17" x14ac:dyDescent="0.25">
      <c r="M1118">
        <v>2001</v>
      </c>
      <c r="N1118" t="s">
        <v>4</v>
      </c>
      <c r="O1118" t="s">
        <v>59</v>
      </c>
      <c r="P1118" t="s">
        <v>36</v>
      </c>
      <c r="Q1118">
        <v>4</v>
      </c>
    </row>
    <row r="1119" spans="13:17" x14ac:dyDescent="0.25">
      <c r="M1119">
        <v>2007</v>
      </c>
      <c r="N1119" t="s">
        <v>4</v>
      </c>
      <c r="O1119" t="s">
        <v>59</v>
      </c>
      <c r="P1119" t="s">
        <v>36</v>
      </c>
      <c r="Q1119">
        <v>0</v>
      </c>
    </row>
    <row r="1120" spans="13:17" x14ac:dyDescent="0.25">
      <c r="M1120">
        <v>2009</v>
      </c>
      <c r="N1120" t="s">
        <v>4</v>
      </c>
      <c r="O1120" t="s">
        <v>59</v>
      </c>
      <c r="P1120" t="s">
        <v>36</v>
      </c>
      <c r="Q1120">
        <v>0</v>
      </c>
    </row>
    <row r="1121" spans="13:17" x14ac:dyDescent="0.25">
      <c r="M1121">
        <v>2011</v>
      </c>
      <c r="N1121" t="s">
        <v>4</v>
      </c>
      <c r="O1121" t="s">
        <v>59</v>
      </c>
      <c r="P1121" t="s">
        <v>36</v>
      </c>
      <c r="Q1121">
        <v>0</v>
      </c>
    </row>
    <row r="1122" spans="13:17" x14ac:dyDescent="0.25">
      <c r="M1122">
        <v>2012</v>
      </c>
      <c r="N1122" t="s">
        <v>4</v>
      </c>
      <c r="O1122" t="s">
        <v>59</v>
      </c>
      <c r="P1122" t="s">
        <v>36</v>
      </c>
      <c r="Q1122">
        <v>0</v>
      </c>
    </row>
    <row r="1123" spans="13:17" x14ac:dyDescent="0.25">
      <c r="M1123">
        <v>2013</v>
      </c>
      <c r="N1123" t="s">
        <v>4</v>
      </c>
      <c r="O1123" t="s">
        <v>59</v>
      </c>
      <c r="P1123" t="s">
        <v>36</v>
      </c>
      <c r="Q1123">
        <v>0</v>
      </c>
    </row>
    <row r="1124" spans="13:17" x14ac:dyDescent="0.25">
      <c r="M1124">
        <v>2014</v>
      </c>
      <c r="N1124" t="s">
        <v>4</v>
      </c>
      <c r="O1124" t="s">
        <v>59</v>
      </c>
      <c r="P1124" t="s">
        <v>36</v>
      </c>
      <c r="Q1124">
        <v>0</v>
      </c>
    </row>
    <row r="1125" spans="13:17" x14ac:dyDescent="0.25">
      <c r="M1125">
        <v>2007</v>
      </c>
      <c r="N1125" t="s">
        <v>43</v>
      </c>
      <c r="O1125" t="s">
        <v>59</v>
      </c>
      <c r="P1125" t="s">
        <v>36</v>
      </c>
      <c r="Q1125">
        <v>15</v>
      </c>
    </row>
    <row r="1126" spans="13:17" x14ac:dyDescent="0.25">
      <c r="M1126">
        <v>2008</v>
      </c>
      <c r="N1126" t="s">
        <v>43</v>
      </c>
      <c r="O1126" t="s">
        <v>59</v>
      </c>
      <c r="P1126" t="s">
        <v>36</v>
      </c>
      <c r="Q1126">
        <v>11.333</v>
      </c>
    </row>
    <row r="1127" spans="13:17" x14ac:dyDescent="0.25">
      <c r="M1127">
        <v>2012</v>
      </c>
      <c r="N1127" t="s">
        <v>43</v>
      </c>
      <c r="O1127" t="s">
        <v>59</v>
      </c>
      <c r="P1127" t="s">
        <v>36</v>
      </c>
      <c r="Q1127">
        <v>3.6</v>
      </c>
    </row>
    <row r="1128" spans="13:17" x14ac:dyDescent="0.25">
      <c r="M1128">
        <v>2013</v>
      </c>
      <c r="N1128" t="s">
        <v>43</v>
      </c>
      <c r="O1128" t="s">
        <v>59</v>
      </c>
      <c r="P1128" t="s">
        <v>36</v>
      </c>
      <c r="Q1128">
        <v>1.5</v>
      </c>
    </row>
    <row r="1129" spans="13:17" x14ac:dyDescent="0.25">
      <c r="M1129">
        <v>2003</v>
      </c>
      <c r="N1129" t="s">
        <v>5</v>
      </c>
      <c r="O1129" t="s">
        <v>59</v>
      </c>
      <c r="P1129" t="s">
        <v>36</v>
      </c>
      <c r="Q1129">
        <v>1.996</v>
      </c>
    </row>
    <row r="1130" spans="13:17" x14ac:dyDescent="0.25">
      <c r="M1130">
        <v>2003</v>
      </c>
      <c r="N1130" t="s">
        <v>1</v>
      </c>
      <c r="O1130" t="s">
        <v>66</v>
      </c>
      <c r="P1130" t="s">
        <v>36</v>
      </c>
      <c r="Q1130">
        <v>2</v>
      </c>
    </row>
    <row r="1131" spans="13:17" x14ac:dyDescent="0.25">
      <c r="M1131">
        <v>2004</v>
      </c>
      <c r="N1131" t="s">
        <v>1</v>
      </c>
      <c r="O1131" t="s">
        <v>66</v>
      </c>
      <c r="P1131" t="s">
        <v>36</v>
      </c>
      <c r="Q1131">
        <v>2</v>
      </c>
    </row>
    <row r="1132" spans="13:17" x14ac:dyDescent="0.25">
      <c r="M1132">
        <v>2005</v>
      </c>
      <c r="N1132" t="s">
        <v>1</v>
      </c>
      <c r="O1132" t="s">
        <v>66</v>
      </c>
      <c r="P1132" t="s">
        <v>36</v>
      </c>
      <c r="Q1132">
        <v>2.1</v>
      </c>
    </row>
    <row r="1133" spans="13:17" x14ac:dyDescent="0.25">
      <c r="M1133">
        <v>2014</v>
      </c>
      <c r="N1133" t="s">
        <v>1</v>
      </c>
      <c r="O1133" t="s">
        <v>66</v>
      </c>
      <c r="P1133" t="s">
        <v>36</v>
      </c>
      <c r="Q1133">
        <v>0.1976</v>
      </c>
    </row>
    <row r="1134" spans="13:17" x14ac:dyDescent="0.25">
      <c r="M1134">
        <v>2009</v>
      </c>
      <c r="N1134" t="s">
        <v>11</v>
      </c>
      <c r="O1134" t="s">
        <v>67</v>
      </c>
      <c r="P1134" t="s">
        <v>36</v>
      </c>
      <c r="Q1134">
        <v>0.3911</v>
      </c>
    </row>
    <row r="1135" spans="13:17" x14ac:dyDescent="0.25">
      <c r="M1135">
        <v>2010</v>
      </c>
      <c r="N1135" t="s">
        <v>11</v>
      </c>
      <c r="O1135" t="s">
        <v>67</v>
      </c>
      <c r="P1135" t="s">
        <v>36</v>
      </c>
      <c r="Q1135">
        <v>0.57938999999999996</v>
      </c>
    </row>
    <row r="1136" spans="13:17" x14ac:dyDescent="0.25">
      <c r="M1136">
        <v>2011</v>
      </c>
      <c r="N1136" t="s">
        <v>11</v>
      </c>
      <c r="O1136" t="s">
        <v>67</v>
      </c>
      <c r="P1136" t="s">
        <v>36</v>
      </c>
      <c r="Q1136">
        <v>0.22864000000000001</v>
      </c>
    </row>
    <row r="1137" spans="13:17" x14ac:dyDescent="0.25">
      <c r="M1137">
        <v>2012</v>
      </c>
      <c r="N1137" t="s">
        <v>11</v>
      </c>
      <c r="O1137" t="s">
        <v>67</v>
      </c>
      <c r="P1137" t="s">
        <v>36</v>
      </c>
      <c r="Q1137">
        <v>0.13020999999999999</v>
      </c>
    </row>
    <row r="1138" spans="13:17" x14ac:dyDescent="0.25">
      <c r="M1138">
        <v>2013</v>
      </c>
      <c r="N1138" t="s">
        <v>11</v>
      </c>
      <c r="O1138" t="s">
        <v>67</v>
      </c>
      <c r="P1138" t="s">
        <v>36</v>
      </c>
      <c r="Q1138">
        <v>0.56220000000000003</v>
      </c>
    </row>
    <row r="1139" spans="13:17" x14ac:dyDescent="0.25">
      <c r="M1139">
        <v>2014</v>
      </c>
      <c r="N1139" t="s">
        <v>11</v>
      </c>
      <c r="O1139" t="s">
        <v>67</v>
      </c>
      <c r="P1139" t="s">
        <v>36</v>
      </c>
      <c r="Q1139">
        <v>2.9828999999999999</v>
      </c>
    </row>
    <row r="1140" spans="13:17" x14ac:dyDescent="0.25">
      <c r="M1140">
        <v>2016</v>
      </c>
      <c r="N1140" t="s">
        <v>11</v>
      </c>
      <c r="O1140" t="s">
        <v>67</v>
      </c>
      <c r="P1140" t="s">
        <v>36</v>
      </c>
      <c r="Q1140">
        <v>2.8533400000000002</v>
      </c>
    </row>
    <row r="1141" spans="13:17" x14ac:dyDescent="0.25">
      <c r="M1141">
        <v>2017</v>
      </c>
      <c r="N1141" t="s">
        <v>11</v>
      </c>
      <c r="O1141" t="s">
        <v>67</v>
      </c>
      <c r="P1141" t="s">
        <v>36</v>
      </c>
      <c r="Q1141">
        <v>2.4889999999999999</v>
      </c>
    </row>
    <row r="1142" spans="13:17" x14ac:dyDescent="0.25">
      <c r="M1142">
        <v>2018</v>
      </c>
      <c r="N1142" t="s">
        <v>11</v>
      </c>
      <c r="O1142" t="s">
        <v>67</v>
      </c>
      <c r="P1142" t="s">
        <v>36</v>
      </c>
      <c r="Q1142">
        <v>1.091</v>
      </c>
    </row>
    <row r="1143" spans="13:17" x14ac:dyDescent="0.25">
      <c r="M1143">
        <v>2019</v>
      </c>
      <c r="N1143" t="s">
        <v>11</v>
      </c>
      <c r="O1143" t="s">
        <v>67</v>
      </c>
      <c r="P1143" t="s">
        <v>36</v>
      </c>
      <c r="Q1143">
        <v>0.24909999999999999</v>
      </c>
    </row>
    <row r="1144" spans="13:17" x14ac:dyDescent="0.25">
      <c r="M1144">
        <v>2020</v>
      </c>
      <c r="N1144" t="s">
        <v>11</v>
      </c>
      <c r="O1144" t="s">
        <v>67</v>
      </c>
      <c r="P1144" t="s">
        <v>36</v>
      </c>
      <c r="Q1144">
        <v>0.36122799999999999</v>
      </c>
    </row>
    <row r="1145" spans="13:17" x14ac:dyDescent="0.25">
      <c r="M1145">
        <v>1983</v>
      </c>
      <c r="N1145" t="s">
        <v>2</v>
      </c>
      <c r="O1145" t="s">
        <v>60</v>
      </c>
      <c r="P1145" t="s">
        <v>36</v>
      </c>
      <c r="Q1145">
        <v>1</v>
      </c>
    </row>
    <row r="1146" spans="13:17" x14ac:dyDescent="0.25">
      <c r="M1146">
        <v>1984</v>
      </c>
      <c r="N1146" t="s">
        <v>2</v>
      </c>
      <c r="O1146" t="s">
        <v>60</v>
      </c>
      <c r="P1146" t="s">
        <v>36</v>
      </c>
      <c r="Q1146">
        <v>2</v>
      </c>
    </row>
    <row r="1147" spans="13:17" x14ac:dyDescent="0.25">
      <c r="M1147">
        <v>1985</v>
      </c>
      <c r="N1147" t="s">
        <v>2</v>
      </c>
      <c r="O1147" t="s">
        <v>60</v>
      </c>
      <c r="P1147" t="s">
        <v>36</v>
      </c>
      <c r="Q1147">
        <v>3</v>
      </c>
    </row>
    <row r="1148" spans="13:17" x14ac:dyDescent="0.25">
      <c r="M1148">
        <v>1988</v>
      </c>
      <c r="N1148" t="s">
        <v>2</v>
      </c>
      <c r="O1148" t="s">
        <v>60</v>
      </c>
      <c r="P1148" t="s">
        <v>36</v>
      </c>
      <c r="Q1148">
        <v>2</v>
      </c>
    </row>
    <row r="1149" spans="13:17" x14ac:dyDescent="0.25">
      <c r="M1149">
        <v>1990</v>
      </c>
      <c r="N1149" t="s">
        <v>2</v>
      </c>
      <c r="O1149" t="s">
        <v>60</v>
      </c>
      <c r="P1149" t="s">
        <v>36</v>
      </c>
      <c r="Q1149">
        <v>0</v>
      </c>
    </row>
    <row r="1150" spans="13:17" x14ac:dyDescent="0.25">
      <c r="M1150">
        <v>1995</v>
      </c>
      <c r="N1150" t="s">
        <v>2</v>
      </c>
      <c r="O1150" t="s">
        <v>60</v>
      </c>
      <c r="P1150" t="s">
        <v>36</v>
      </c>
      <c r="Q1150">
        <v>2</v>
      </c>
    </row>
    <row r="1151" spans="13:17" x14ac:dyDescent="0.25">
      <c r="M1151">
        <v>1996</v>
      </c>
      <c r="N1151" t="s">
        <v>2</v>
      </c>
      <c r="O1151" t="s">
        <v>60</v>
      </c>
      <c r="P1151" t="s">
        <v>36</v>
      </c>
      <c r="Q1151">
        <v>2</v>
      </c>
    </row>
    <row r="1152" spans="13:17" x14ac:dyDescent="0.25">
      <c r="M1152">
        <v>1997</v>
      </c>
      <c r="N1152" t="s">
        <v>2</v>
      </c>
      <c r="O1152" t="s">
        <v>60</v>
      </c>
      <c r="P1152" t="s">
        <v>36</v>
      </c>
      <c r="Q1152">
        <v>1</v>
      </c>
    </row>
    <row r="1153" spans="13:17" x14ac:dyDescent="0.25">
      <c r="M1153">
        <v>1998</v>
      </c>
      <c r="N1153" t="s">
        <v>2</v>
      </c>
      <c r="O1153" t="s">
        <v>60</v>
      </c>
      <c r="P1153" t="s">
        <v>36</v>
      </c>
      <c r="Q1153">
        <v>2</v>
      </c>
    </row>
    <row r="1154" spans="13:17" x14ac:dyDescent="0.25">
      <c r="M1154">
        <v>1999</v>
      </c>
      <c r="N1154" t="s">
        <v>2</v>
      </c>
      <c r="O1154" t="s">
        <v>60</v>
      </c>
      <c r="P1154" t="s">
        <v>36</v>
      </c>
      <c r="Q1154">
        <v>3</v>
      </c>
    </row>
    <row r="1155" spans="13:17" x14ac:dyDescent="0.25">
      <c r="M1155">
        <v>2000</v>
      </c>
      <c r="N1155" t="s">
        <v>2</v>
      </c>
      <c r="O1155" t="s">
        <v>60</v>
      </c>
      <c r="P1155" t="s">
        <v>36</v>
      </c>
      <c r="Q1155">
        <v>1.3089999999999999</v>
      </c>
    </row>
    <row r="1156" spans="13:17" x14ac:dyDescent="0.25">
      <c r="M1156">
        <v>2001</v>
      </c>
      <c r="N1156" t="s">
        <v>2</v>
      </c>
      <c r="O1156" t="s">
        <v>60</v>
      </c>
      <c r="P1156" t="s">
        <v>36</v>
      </c>
      <c r="Q1156">
        <v>3.6</v>
      </c>
    </row>
    <row r="1157" spans="13:17" x14ac:dyDescent="0.25">
      <c r="M1157">
        <v>2002</v>
      </c>
      <c r="N1157" t="s">
        <v>2</v>
      </c>
      <c r="O1157" t="s">
        <v>60</v>
      </c>
      <c r="P1157" t="s">
        <v>36</v>
      </c>
      <c r="Q1157">
        <v>2.2999999999999998</v>
      </c>
    </row>
    <row r="1158" spans="13:17" x14ac:dyDescent="0.25">
      <c r="M1158">
        <v>2003</v>
      </c>
      <c r="N1158" t="s">
        <v>2</v>
      </c>
      <c r="O1158" t="s">
        <v>60</v>
      </c>
      <c r="P1158" t="s">
        <v>36</v>
      </c>
      <c r="Q1158">
        <v>2.8530000000000002</v>
      </c>
    </row>
    <row r="1159" spans="13:17" x14ac:dyDescent="0.25">
      <c r="M1159">
        <v>2004</v>
      </c>
      <c r="N1159" t="s">
        <v>2</v>
      </c>
      <c r="O1159" t="s">
        <v>60</v>
      </c>
      <c r="P1159" t="s">
        <v>36</v>
      </c>
      <c r="Q1159">
        <v>1.417</v>
      </c>
    </row>
    <row r="1160" spans="13:17" x14ac:dyDescent="0.25">
      <c r="M1160">
        <v>2005</v>
      </c>
      <c r="N1160" t="s">
        <v>2</v>
      </c>
      <c r="O1160" t="s">
        <v>60</v>
      </c>
      <c r="P1160" t="s">
        <v>36</v>
      </c>
      <c r="Q1160">
        <v>3.1549999999999998</v>
      </c>
    </row>
    <row r="1161" spans="13:17" x14ac:dyDescent="0.25">
      <c r="M1161">
        <v>2006</v>
      </c>
      <c r="N1161" t="s">
        <v>2</v>
      </c>
      <c r="O1161" t="s">
        <v>60</v>
      </c>
      <c r="P1161" t="s">
        <v>36</v>
      </c>
      <c r="Q1161">
        <v>1.08</v>
      </c>
    </row>
    <row r="1162" spans="13:17" x14ac:dyDescent="0.25">
      <c r="M1162">
        <v>2007</v>
      </c>
      <c r="N1162" t="s">
        <v>2</v>
      </c>
      <c r="O1162" t="s">
        <v>60</v>
      </c>
      <c r="P1162" t="s">
        <v>36</v>
      </c>
      <c r="Q1162">
        <v>0.56299999999999994</v>
      </c>
    </row>
    <row r="1163" spans="13:17" x14ac:dyDescent="0.25">
      <c r="M1163">
        <v>2008</v>
      </c>
      <c r="N1163" t="s">
        <v>2</v>
      </c>
      <c r="O1163" t="s">
        <v>60</v>
      </c>
      <c r="P1163" t="s">
        <v>36</v>
      </c>
      <c r="Q1163">
        <v>2.262</v>
      </c>
    </row>
    <row r="1164" spans="13:17" x14ac:dyDescent="0.25">
      <c r="M1164">
        <v>2009</v>
      </c>
      <c r="N1164" t="s">
        <v>2</v>
      </c>
      <c r="O1164" t="s">
        <v>60</v>
      </c>
      <c r="P1164" t="s">
        <v>36</v>
      </c>
      <c r="Q1164">
        <v>2.5379999999999998</v>
      </c>
    </row>
    <row r="1165" spans="13:17" x14ac:dyDescent="0.25">
      <c r="M1165">
        <v>2010</v>
      </c>
      <c r="N1165" t="s">
        <v>2</v>
      </c>
      <c r="O1165" t="s">
        <v>60</v>
      </c>
      <c r="P1165" t="s">
        <v>36</v>
      </c>
      <c r="Q1165">
        <v>1.9139999999999999</v>
      </c>
    </row>
    <row r="1166" spans="13:17" x14ac:dyDescent="0.25">
      <c r="M1166">
        <v>2011</v>
      </c>
      <c r="N1166" t="s">
        <v>2</v>
      </c>
      <c r="O1166" t="s">
        <v>60</v>
      </c>
      <c r="P1166" t="s">
        <v>36</v>
      </c>
      <c r="Q1166">
        <v>2.7240000000000002</v>
      </c>
    </row>
    <row r="1167" spans="13:17" x14ac:dyDescent="0.25">
      <c r="M1167">
        <v>2012</v>
      </c>
      <c r="N1167" t="s">
        <v>2</v>
      </c>
      <c r="O1167" t="s">
        <v>60</v>
      </c>
      <c r="P1167" t="s">
        <v>36</v>
      </c>
      <c r="Q1167">
        <v>2.379</v>
      </c>
    </row>
    <row r="1168" spans="13:17" x14ac:dyDescent="0.25">
      <c r="M1168">
        <v>2013</v>
      </c>
      <c r="N1168" t="s">
        <v>2</v>
      </c>
      <c r="O1168" t="s">
        <v>60</v>
      </c>
      <c r="P1168" t="s">
        <v>36</v>
      </c>
      <c r="Q1168">
        <v>0.66900000000000004</v>
      </c>
    </row>
    <row r="1169" spans="13:17" x14ac:dyDescent="0.25">
      <c r="M1169">
        <v>2014</v>
      </c>
      <c r="N1169" t="s">
        <v>2</v>
      </c>
      <c r="O1169" t="s">
        <v>60</v>
      </c>
      <c r="P1169" t="s">
        <v>36</v>
      </c>
      <c r="Q1169">
        <v>0.92700000000000005</v>
      </c>
    </row>
    <row r="1170" spans="13:17" x14ac:dyDescent="0.25">
      <c r="M1170">
        <v>2015</v>
      </c>
      <c r="N1170" t="s">
        <v>2</v>
      </c>
      <c r="O1170" t="s">
        <v>60</v>
      </c>
      <c r="P1170" t="s">
        <v>36</v>
      </c>
      <c r="Q1170">
        <v>1.4509000000000001</v>
      </c>
    </row>
    <row r="1171" spans="13:17" x14ac:dyDescent="0.25">
      <c r="M1171">
        <v>2016</v>
      </c>
      <c r="N1171" t="s">
        <v>2</v>
      </c>
      <c r="O1171" t="s">
        <v>60</v>
      </c>
      <c r="P1171" t="s">
        <v>36</v>
      </c>
      <c r="Q1171">
        <v>0.88529999999999998</v>
      </c>
    </row>
    <row r="1172" spans="13:17" x14ac:dyDescent="0.25">
      <c r="M1172">
        <v>2017</v>
      </c>
      <c r="N1172" t="s">
        <v>2</v>
      </c>
      <c r="O1172" t="s">
        <v>60</v>
      </c>
      <c r="P1172" t="s">
        <v>36</v>
      </c>
      <c r="Q1172">
        <v>0.14299999999999999</v>
      </c>
    </row>
    <row r="1173" spans="13:17" x14ac:dyDescent="0.25">
      <c r="M1173">
        <v>2018</v>
      </c>
      <c r="N1173" t="s">
        <v>2</v>
      </c>
      <c r="O1173" t="s">
        <v>60</v>
      </c>
      <c r="P1173" t="s">
        <v>36</v>
      </c>
      <c r="Q1173">
        <v>0.25600000000000001</v>
      </c>
    </row>
    <row r="1174" spans="13:17" x14ac:dyDescent="0.25">
      <c r="M1174">
        <v>2019</v>
      </c>
      <c r="N1174" t="s">
        <v>2</v>
      </c>
      <c r="O1174" t="s">
        <v>60</v>
      </c>
      <c r="P1174" t="s">
        <v>36</v>
      </c>
      <c r="Q1174">
        <v>0.69899999999999995</v>
      </c>
    </row>
    <row r="1175" spans="13:17" x14ac:dyDescent="0.25">
      <c r="M1175">
        <v>2020</v>
      </c>
      <c r="N1175" t="s">
        <v>2</v>
      </c>
      <c r="O1175" t="s">
        <v>60</v>
      </c>
      <c r="P1175" t="s">
        <v>36</v>
      </c>
      <c r="Q1175">
        <v>8.3165999999999993</v>
      </c>
    </row>
    <row r="1176" spans="13:17" x14ac:dyDescent="0.25">
      <c r="M1176">
        <v>2021</v>
      </c>
      <c r="N1176" t="s">
        <v>2</v>
      </c>
      <c r="O1176" t="s">
        <v>60</v>
      </c>
      <c r="P1176" t="s">
        <v>36</v>
      </c>
      <c r="Q1176">
        <v>2.6139000000000001</v>
      </c>
    </row>
    <row r="1177" spans="13:17" x14ac:dyDescent="0.25">
      <c r="M1177">
        <v>2022</v>
      </c>
      <c r="N1177" t="s">
        <v>2</v>
      </c>
      <c r="O1177" t="s">
        <v>60</v>
      </c>
      <c r="P1177" t="s">
        <v>36</v>
      </c>
      <c r="Q1177">
        <v>1.1153</v>
      </c>
    </row>
    <row r="1178" spans="13:17" x14ac:dyDescent="0.25">
      <c r="M1178">
        <v>2023</v>
      </c>
      <c r="N1178" t="s">
        <v>2</v>
      </c>
      <c r="O1178" t="s">
        <v>60</v>
      </c>
      <c r="P1178" t="s">
        <v>36</v>
      </c>
      <c r="Q1178">
        <v>0.49399999999999999</v>
      </c>
    </row>
    <row r="1179" spans="13:17" x14ac:dyDescent="0.25">
      <c r="M1179">
        <v>2024</v>
      </c>
      <c r="N1179" t="s">
        <v>2</v>
      </c>
      <c r="O1179" t="s">
        <v>60</v>
      </c>
      <c r="P1179" t="s">
        <v>36</v>
      </c>
      <c r="Q1179">
        <v>0.69099999999999995</v>
      </c>
    </row>
    <row r="1180" spans="13:17" x14ac:dyDescent="0.25">
      <c r="M1180">
        <v>2011</v>
      </c>
      <c r="N1180" t="s">
        <v>11</v>
      </c>
      <c r="O1180" t="s">
        <v>60</v>
      </c>
      <c r="P1180" t="s">
        <v>36</v>
      </c>
      <c r="Q1180">
        <v>0.13700000000000001</v>
      </c>
    </row>
    <row r="1181" spans="13:17" x14ac:dyDescent="0.25">
      <c r="M1181">
        <v>2012</v>
      </c>
      <c r="N1181" t="s">
        <v>11</v>
      </c>
      <c r="O1181" t="s">
        <v>60</v>
      </c>
      <c r="P1181" t="s">
        <v>36</v>
      </c>
      <c r="Q1181">
        <v>0.31680000000000003</v>
      </c>
    </row>
    <row r="1182" spans="13:17" x14ac:dyDescent="0.25">
      <c r="M1182">
        <v>2013</v>
      </c>
      <c r="N1182" t="s">
        <v>11</v>
      </c>
      <c r="O1182" t="s">
        <v>60</v>
      </c>
      <c r="P1182" t="s">
        <v>36</v>
      </c>
      <c r="Q1182">
        <v>0.28599999999999998</v>
      </c>
    </row>
    <row r="1183" spans="13:17" x14ac:dyDescent="0.25">
      <c r="M1183">
        <v>2014</v>
      </c>
      <c r="N1183" t="s">
        <v>11</v>
      </c>
      <c r="O1183" t="s">
        <v>60</v>
      </c>
      <c r="P1183" t="s">
        <v>36</v>
      </c>
      <c r="Q1183">
        <v>0.15</v>
      </c>
    </row>
    <row r="1184" spans="13:17" x14ac:dyDescent="0.25">
      <c r="M1184">
        <v>2022</v>
      </c>
      <c r="N1184" t="s">
        <v>11</v>
      </c>
      <c r="O1184" t="s">
        <v>60</v>
      </c>
      <c r="P1184" t="s">
        <v>36</v>
      </c>
      <c r="Q1184">
        <v>8.7578000000000003E-2</v>
      </c>
    </row>
    <row r="1185" spans="13:17" x14ac:dyDescent="0.25">
      <c r="M1185">
        <v>2023</v>
      </c>
      <c r="N1185" t="s">
        <v>11</v>
      </c>
      <c r="O1185" t="s">
        <v>60</v>
      </c>
      <c r="P1185" t="s">
        <v>36</v>
      </c>
      <c r="Q1185">
        <v>2.793E-2</v>
      </c>
    </row>
    <row r="1186" spans="13:17" x14ac:dyDescent="0.25">
      <c r="M1186">
        <v>2024</v>
      </c>
      <c r="N1186" t="s">
        <v>11</v>
      </c>
      <c r="O1186" t="s">
        <v>60</v>
      </c>
      <c r="P1186" t="s">
        <v>36</v>
      </c>
      <c r="Q1186">
        <v>3.4882000000000003E-2</v>
      </c>
    </row>
    <row r="1187" spans="13:17" x14ac:dyDescent="0.25">
      <c r="M1187">
        <v>1984</v>
      </c>
      <c r="N1187" t="s">
        <v>1</v>
      </c>
      <c r="O1187" t="s">
        <v>60</v>
      </c>
      <c r="P1187" t="s">
        <v>36</v>
      </c>
      <c r="Q1187">
        <v>3</v>
      </c>
    </row>
    <row r="1188" spans="13:17" x14ac:dyDescent="0.25">
      <c r="M1188">
        <v>1990</v>
      </c>
      <c r="N1188" t="s">
        <v>1</v>
      </c>
      <c r="O1188" t="s">
        <v>60</v>
      </c>
      <c r="P1188" t="s">
        <v>36</v>
      </c>
      <c r="Q1188">
        <v>0</v>
      </c>
    </row>
    <row r="1189" spans="13:17" x14ac:dyDescent="0.25">
      <c r="M1189">
        <v>1991</v>
      </c>
      <c r="N1189" t="s">
        <v>1</v>
      </c>
      <c r="O1189" t="s">
        <v>60</v>
      </c>
      <c r="P1189" t="s">
        <v>36</v>
      </c>
      <c r="Q1189">
        <v>0</v>
      </c>
    </row>
    <row r="1190" spans="13:17" x14ac:dyDescent="0.25">
      <c r="M1190">
        <v>1992</v>
      </c>
      <c r="N1190" t="s">
        <v>1</v>
      </c>
      <c r="O1190" t="s">
        <v>60</v>
      </c>
      <c r="P1190" t="s">
        <v>36</v>
      </c>
      <c r="Q1190">
        <v>0</v>
      </c>
    </row>
    <row r="1191" spans="13:17" x14ac:dyDescent="0.25">
      <c r="M1191">
        <v>1993</v>
      </c>
      <c r="N1191" t="s">
        <v>1</v>
      </c>
      <c r="O1191" t="s">
        <v>60</v>
      </c>
      <c r="P1191" t="s">
        <v>36</v>
      </c>
      <c r="Q1191">
        <v>0</v>
      </c>
    </row>
    <row r="1192" spans="13:17" x14ac:dyDescent="0.25">
      <c r="M1192">
        <v>1996</v>
      </c>
      <c r="N1192" t="s">
        <v>1</v>
      </c>
      <c r="O1192" t="s">
        <v>60</v>
      </c>
      <c r="P1192" t="s">
        <v>36</v>
      </c>
      <c r="Q1192">
        <v>2</v>
      </c>
    </row>
    <row r="1193" spans="13:17" x14ac:dyDescent="0.25">
      <c r="M1193">
        <v>1997</v>
      </c>
      <c r="N1193" t="s">
        <v>1</v>
      </c>
      <c r="O1193" t="s">
        <v>60</v>
      </c>
      <c r="P1193" t="s">
        <v>36</v>
      </c>
      <c r="Q1193">
        <v>2</v>
      </c>
    </row>
    <row r="1194" spans="13:17" x14ac:dyDescent="0.25">
      <c r="M1194">
        <v>1998</v>
      </c>
      <c r="N1194" t="s">
        <v>1</v>
      </c>
      <c r="O1194" t="s">
        <v>60</v>
      </c>
      <c r="P1194" t="s">
        <v>36</v>
      </c>
      <c r="Q1194">
        <v>2</v>
      </c>
    </row>
    <row r="1195" spans="13:17" x14ac:dyDescent="0.25">
      <c r="M1195">
        <v>1999</v>
      </c>
      <c r="N1195" t="s">
        <v>1</v>
      </c>
      <c r="O1195" t="s">
        <v>60</v>
      </c>
      <c r="P1195" t="s">
        <v>36</v>
      </c>
      <c r="Q1195">
        <v>0</v>
      </c>
    </row>
    <row r="1196" spans="13:17" x14ac:dyDescent="0.25">
      <c r="M1196">
        <v>2000</v>
      </c>
      <c r="N1196" t="s">
        <v>1</v>
      </c>
      <c r="O1196" t="s">
        <v>60</v>
      </c>
      <c r="P1196" t="s">
        <v>36</v>
      </c>
      <c r="Q1196">
        <v>2</v>
      </c>
    </row>
    <row r="1197" spans="13:17" x14ac:dyDescent="0.25">
      <c r="M1197">
        <v>2003</v>
      </c>
      <c r="N1197" t="s">
        <v>1</v>
      </c>
      <c r="O1197" t="s">
        <v>60</v>
      </c>
      <c r="P1197" t="s">
        <v>36</v>
      </c>
      <c r="Q1197">
        <v>2</v>
      </c>
    </row>
    <row r="1198" spans="13:17" x14ac:dyDescent="0.25">
      <c r="M1198">
        <v>2004</v>
      </c>
      <c r="N1198" t="s">
        <v>1</v>
      </c>
      <c r="O1198" t="s">
        <v>60</v>
      </c>
      <c r="P1198" t="s">
        <v>36</v>
      </c>
      <c r="Q1198">
        <v>1</v>
      </c>
    </row>
    <row r="1199" spans="13:17" x14ac:dyDescent="0.25">
      <c r="M1199">
        <v>2005</v>
      </c>
      <c r="N1199" t="s">
        <v>1</v>
      </c>
      <c r="O1199" t="s">
        <v>60</v>
      </c>
      <c r="P1199" t="s">
        <v>36</v>
      </c>
      <c r="Q1199">
        <v>1.7</v>
      </c>
    </row>
    <row r="1200" spans="13:17" x14ac:dyDescent="0.25">
      <c r="M1200">
        <v>1965</v>
      </c>
      <c r="N1200" t="s">
        <v>4</v>
      </c>
      <c r="O1200" t="s">
        <v>60</v>
      </c>
      <c r="P1200" t="s">
        <v>36</v>
      </c>
      <c r="Q1200">
        <v>1</v>
      </c>
    </row>
    <row r="1201" spans="13:17" x14ac:dyDescent="0.25">
      <c r="M1201">
        <v>1967</v>
      </c>
      <c r="N1201" t="s">
        <v>4</v>
      </c>
      <c r="O1201" t="s">
        <v>60</v>
      </c>
      <c r="P1201" t="s">
        <v>36</v>
      </c>
      <c r="Q1201">
        <v>1</v>
      </c>
    </row>
    <row r="1202" spans="13:17" x14ac:dyDescent="0.25">
      <c r="M1202">
        <v>1968</v>
      </c>
      <c r="N1202" t="s">
        <v>4</v>
      </c>
      <c r="O1202" t="s">
        <v>60</v>
      </c>
      <c r="P1202" t="s">
        <v>36</v>
      </c>
      <c r="Q1202">
        <v>1</v>
      </c>
    </row>
    <row r="1203" spans="13:17" x14ac:dyDescent="0.25">
      <c r="M1203">
        <v>1971</v>
      </c>
      <c r="N1203" t="s">
        <v>4</v>
      </c>
      <c r="O1203" t="s">
        <v>60</v>
      </c>
      <c r="P1203" t="s">
        <v>36</v>
      </c>
      <c r="Q1203">
        <v>1</v>
      </c>
    </row>
    <row r="1204" spans="13:17" x14ac:dyDescent="0.25">
      <c r="M1204">
        <v>1972</v>
      </c>
      <c r="N1204" t="s">
        <v>4</v>
      </c>
      <c r="O1204" t="s">
        <v>60</v>
      </c>
      <c r="P1204" t="s">
        <v>36</v>
      </c>
      <c r="Q1204">
        <v>1</v>
      </c>
    </row>
    <row r="1205" spans="13:17" x14ac:dyDescent="0.25">
      <c r="M1205">
        <v>1974</v>
      </c>
      <c r="N1205" t="s">
        <v>4</v>
      </c>
      <c r="O1205" t="s">
        <v>60</v>
      </c>
      <c r="P1205" t="s">
        <v>36</v>
      </c>
      <c r="Q1205">
        <v>3</v>
      </c>
    </row>
    <row r="1206" spans="13:17" x14ac:dyDescent="0.25">
      <c r="M1206">
        <v>1985</v>
      </c>
      <c r="N1206" t="s">
        <v>4</v>
      </c>
      <c r="O1206" t="s">
        <v>60</v>
      </c>
      <c r="P1206" t="s">
        <v>36</v>
      </c>
      <c r="Q1206">
        <v>2</v>
      </c>
    </row>
    <row r="1207" spans="13:17" x14ac:dyDescent="0.25">
      <c r="M1207">
        <v>1990</v>
      </c>
      <c r="N1207" t="s">
        <v>4</v>
      </c>
      <c r="O1207" t="s">
        <v>60</v>
      </c>
      <c r="P1207" t="s">
        <v>36</v>
      </c>
      <c r="Q1207">
        <v>12</v>
      </c>
    </row>
    <row r="1208" spans="13:17" x14ac:dyDescent="0.25">
      <c r="M1208">
        <v>1991</v>
      </c>
      <c r="N1208" t="s">
        <v>4</v>
      </c>
      <c r="O1208" t="s">
        <v>60</v>
      </c>
      <c r="P1208" t="s">
        <v>36</v>
      </c>
      <c r="Q1208">
        <v>12</v>
      </c>
    </row>
    <row r="1209" spans="13:17" x14ac:dyDescent="0.25">
      <c r="M1209">
        <v>1992</v>
      </c>
      <c r="N1209" t="s">
        <v>4</v>
      </c>
      <c r="O1209" t="s">
        <v>60</v>
      </c>
      <c r="P1209" t="s">
        <v>36</v>
      </c>
      <c r="Q1209">
        <v>2</v>
      </c>
    </row>
    <row r="1210" spans="13:17" x14ac:dyDescent="0.25">
      <c r="M1210">
        <v>1993</v>
      </c>
      <c r="N1210" t="s">
        <v>4</v>
      </c>
      <c r="O1210" t="s">
        <v>60</v>
      </c>
      <c r="P1210" t="s">
        <v>36</v>
      </c>
      <c r="Q1210">
        <v>4</v>
      </c>
    </row>
    <row r="1211" spans="13:17" x14ac:dyDescent="0.25">
      <c r="M1211">
        <v>1994</v>
      </c>
      <c r="N1211" t="s">
        <v>4</v>
      </c>
      <c r="O1211" t="s">
        <v>60</v>
      </c>
      <c r="P1211" t="s">
        <v>36</v>
      </c>
      <c r="Q1211">
        <v>18</v>
      </c>
    </row>
    <row r="1212" spans="13:17" x14ac:dyDescent="0.25">
      <c r="M1212">
        <v>1995</v>
      </c>
      <c r="N1212" t="s">
        <v>4</v>
      </c>
      <c r="O1212" t="s">
        <v>60</v>
      </c>
      <c r="P1212" t="s">
        <v>36</v>
      </c>
      <c r="Q1212">
        <v>9</v>
      </c>
    </row>
    <row r="1213" spans="13:17" x14ac:dyDescent="0.25">
      <c r="M1213">
        <v>1997</v>
      </c>
      <c r="N1213" t="s">
        <v>4</v>
      </c>
      <c r="O1213" t="s">
        <v>60</v>
      </c>
      <c r="P1213" t="s">
        <v>36</v>
      </c>
      <c r="Q1213">
        <v>2</v>
      </c>
    </row>
    <row r="1214" spans="13:17" x14ac:dyDescent="0.25">
      <c r="M1214">
        <v>1998</v>
      </c>
      <c r="N1214" t="s">
        <v>4</v>
      </c>
      <c r="O1214" t="s">
        <v>60</v>
      </c>
      <c r="P1214" t="s">
        <v>36</v>
      </c>
      <c r="Q1214">
        <v>0</v>
      </c>
    </row>
    <row r="1215" spans="13:17" x14ac:dyDescent="0.25">
      <c r="M1215">
        <v>2001</v>
      </c>
      <c r="N1215" t="s">
        <v>4</v>
      </c>
      <c r="O1215" t="s">
        <v>60</v>
      </c>
      <c r="P1215" t="s">
        <v>36</v>
      </c>
      <c r="Q1215">
        <v>2</v>
      </c>
    </row>
    <row r="1216" spans="13:17" x14ac:dyDescent="0.25">
      <c r="M1216">
        <v>2003</v>
      </c>
      <c r="N1216" t="s">
        <v>4</v>
      </c>
      <c r="O1216" t="s">
        <v>60</v>
      </c>
      <c r="P1216" t="s">
        <v>36</v>
      </c>
      <c r="Q1216">
        <v>1</v>
      </c>
    </row>
    <row r="1217" spans="13:17" x14ac:dyDescent="0.25">
      <c r="M1217">
        <v>2007</v>
      </c>
      <c r="N1217" t="s">
        <v>4</v>
      </c>
      <c r="O1217" t="s">
        <v>60</v>
      </c>
      <c r="P1217" t="s">
        <v>36</v>
      </c>
      <c r="Q1217">
        <v>0</v>
      </c>
    </row>
    <row r="1218" spans="13:17" x14ac:dyDescent="0.25">
      <c r="M1218">
        <v>2009</v>
      </c>
      <c r="N1218" t="s">
        <v>4</v>
      </c>
      <c r="O1218" t="s">
        <v>60</v>
      </c>
      <c r="P1218" t="s">
        <v>36</v>
      </c>
      <c r="Q1218">
        <v>0</v>
      </c>
    </row>
    <row r="1219" spans="13:17" x14ac:dyDescent="0.25">
      <c r="M1219">
        <v>2011</v>
      </c>
      <c r="N1219" t="s">
        <v>4</v>
      </c>
      <c r="O1219" t="s">
        <v>60</v>
      </c>
      <c r="P1219" t="s">
        <v>36</v>
      </c>
      <c r="Q1219">
        <v>0</v>
      </c>
    </row>
    <row r="1220" spans="13:17" x14ac:dyDescent="0.25">
      <c r="M1220">
        <v>2012</v>
      </c>
      <c r="N1220" t="s">
        <v>4</v>
      </c>
      <c r="O1220" t="s">
        <v>60</v>
      </c>
      <c r="P1220" t="s">
        <v>36</v>
      </c>
      <c r="Q1220">
        <v>0</v>
      </c>
    </row>
    <row r="1221" spans="13:17" x14ac:dyDescent="0.25">
      <c r="M1221">
        <v>2013</v>
      </c>
      <c r="N1221" t="s">
        <v>4</v>
      </c>
      <c r="O1221" t="s">
        <v>60</v>
      </c>
      <c r="P1221" t="s">
        <v>36</v>
      </c>
      <c r="Q1221">
        <v>0</v>
      </c>
    </row>
    <row r="1222" spans="13:17" x14ac:dyDescent="0.25">
      <c r="M1222">
        <v>2014</v>
      </c>
      <c r="N1222" t="s">
        <v>4</v>
      </c>
      <c r="O1222" t="s">
        <v>60</v>
      </c>
      <c r="P1222" t="s">
        <v>36</v>
      </c>
      <c r="Q1222">
        <v>0</v>
      </c>
    </row>
    <row r="1223" spans="13:17" x14ac:dyDescent="0.25">
      <c r="M1223">
        <v>2003</v>
      </c>
      <c r="N1223" t="s">
        <v>5</v>
      </c>
      <c r="O1223" t="s">
        <v>60</v>
      </c>
      <c r="P1223" t="s">
        <v>36</v>
      </c>
      <c r="Q1223">
        <v>0.315</v>
      </c>
    </row>
    <row r="1224" spans="13:17" x14ac:dyDescent="0.25">
      <c r="M1224">
        <v>2011</v>
      </c>
      <c r="N1224" t="s">
        <v>11</v>
      </c>
      <c r="O1224" t="s">
        <v>61</v>
      </c>
      <c r="P1224" t="s">
        <v>36</v>
      </c>
      <c r="Q1224">
        <v>0.06</v>
      </c>
    </row>
    <row r="1225" spans="13:17" x14ac:dyDescent="0.25">
      <c r="M1225">
        <v>2014</v>
      </c>
      <c r="N1225" t="s">
        <v>11</v>
      </c>
      <c r="O1225" t="s">
        <v>61</v>
      </c>
      <c r="P1225" t="s">
        <v>36</v>
      </c>
      <c r="Q1225">
        <v>7.0000000000000007E-2</v>
      </c>
    </row>
    <row r="1226" spans="13:17" x14ac:dyDescent="0.25">
      <c r="M1226">
        <v>2016</v>
      </c>
      <c r="N1226" t="s">
        <v>11</v>
      </c>
      <c r="O1226" t="s">
        <v>61</v>
      </c>
      <c r="P1226" t="s">
        <v>36</v>
      </c>
      <c r="Q1226">
        <v>2.1447799999999999</v>
      </c>
    </row>
    <row r="1227" spans="13:17" x14ac:dyDescent="0.25">
      <c r="M1227">
        <v>2021</v>
      </c>
      <c r="N1227" t="s">
        <v>11</v>
      </c>
      <c r="O1227" t="s">
        <v>61</v>
      </c>
      <c r="P1227" t="s">
        <v>36</v>
      </c>
      <c r="Q1227">
        <v>4.8599999999999997E-2</v>
      </c>
    </row>
    <row r="1228" spans="13:17" x14ac:dyDescent="0.25">
      <c r="M1228">
        <v>2022</v>
      </c>
      <c r="N1228" t="s">
        <v>11</v>
      </c>
      <c r="O1228" t="s">
        <v>61</v>
      </c>
      <c r="P1228" t="s">
        <v>36</v>
      </c>
      <c r="Q1228">
        <v>0.37796000000000002</v>
      </c>
    </row>
    <row r="1229" spans="13:17" x14ac:dyDescent="0.25">
      <c r="M1229">
        <v>2023</v>
      </c>
      <c r="N1229" t="s">
        <v>11</v>
      </c>
      <c r="O1229" t="s">
        <v>61</v>
      </c>
      <c r="P1229" t="s">
        <v>36</v>
      </c>
      <c r="Q1229">
        <v>0.26639000000000002</v>
      </c>
    </row>
    <row r="1230" spans="13:17" x14ac:dyDescent="0.25">
      <c r="M1230">
        <v>2024</v>
      </c>
      <c r="N1230" t="s">
        <v>11</v>
      </c>
      <c r="O1230" t="s">
        <v>61</v>
      </c>
      <c r="P1230" t="s">
        <v>36</v>
      </c>
      <c r="Q1230">
        <v>0.73052399999999995</v>
      </c>
    </row>
    <row r="1231" spans="13:17" x14ac:dyDescent="0.25">
      <c r="M1231">
        <v>1985</v>
      </c>
      <c r="N1231" t="s">
        <v>2</v>
      </c>
      <c r="O1231" t="s">
        <v>62</v>
      </c>
      <c r="P1231" t="s">
        <v>36</v>
      </c>
      <c r="Q1231">
        <v>1</v>
      </c>
    </row>
    <row r="1232" spans="13:17" x14ac:dyDescent="0.25">
      <c r="M1232">
        <v>2022</v>
      </c>
      <c r="N1232" t="s">
        <v>2</v>
      </c>
      <c r="O1232" t="s">
        <v>62</v>
      </c>
      <c r="P1232" t="s">
        <v>36</v>
      </c>
      <c r="Q1232">
        <v>1.70225</v>
      </c>
    </row>
    <row r="1233" spans="13:17" x14ac:dyDescent="0.25">
      <c r="M1233">
        <v>2023</v>
      </c>
      <c r="N1233" t="s">
        <v>2</v>
      </c>
      <c r="O1233" t="s">
        <v>62</v>
      </c>
      <c r="P1233" t="s">
        <v>36</v>
      </c>
      <c r="Q1233">
        <v>1.70225</v>
      </c>
    </row>
    <row r="1234" spans="13:17" x14ac:dyDescent="0.25">
      <c r="M1234">
        <v>1998</v>
      </c>
      <c r="N1234" t="s">
        <v>6</v>
      </c>
      <c r="O1234" t="s">
        <v>62</v>
      </c>
      <c r="P1234" t="s">
        <v>36</v>
      </c>
      <c r="Q1234">
        <v>57</v>
      </c>
    </row>
    <row r="1235" spans="13:17" x14ac:dyDescent="0.25">
      <c r="M1235">
        <v>1999</v>
      </c>
      <c r="N1235" t="s">
        <v>6</v>
      </c>
      <c r="O1235" t="s">
        <v>62</v>
      </c>
      <c r="P1235" t="s">
        <v>36</v>
      </c>
      <c r="Q1235">
        <v>52</v>
      </c>
    </row>
    <row r="1236" spans="13:17" x14ac:dyDescent="0.25">
      <c r="M1236">
        <v>2000</v>
      </c>
      <c r="N1236" t="s">
        <v>6</v>
      </c>
      <c r="O1236" t="s">
        <v>62</v>
      </c>
      <c r="P1236" t="s">
        <v>36</v>
      </c>
      <c r="Q1236">
        <v>51</v>
      </c>
    </row>
    <row r="1237" spans="13:17" x14ac:dyDescent="0.25">
      <c r="M1237">
        <v>2011</v>
      </c>
      <c r="N1237" t="s">
        <v>6</v>
      </c>
      <c r="O1237" t="s">
        <v>62</v>
      </c>
      <c r="P1237" t="s">
        <v>36</v>
      </c>
      <c r="Q1237">
        <v>22.66</v>
      </c>
    </row>
    <row r="1238" spans="13:17" x14ac:dyDescent="0.25">
      <c r="M1238">
        <v>2012</v>
      </c>
      <c r="N1238" t="s">
        <v>6</v>
      </c>
      <c r="O1238" t="s">
        <v>62</v>
      </c>
      <c r="P1238" t="s">
        <v>36</v>
      </c>
      <c r="Q1238">
        <v>14.885999999999999</v>
      </c>
    </row>
    <row r="1239" spans="13:17" x14ac:dyDescent="0.25">
      <c r="M1239">
        <v>2013</v>
      </c>
      <c r="N1239" t="s">
        <v>6</v>
      </c>
      <c r="O1239" t="s">
        <v>62</v>
      </c>
      <c r="P1239" t="s">
        <v>36</v>
      </c>
      <c r="Q1239">
        <v>17.91</v>
      </c>
    </row>
    <row r="1240" spans="13:17" x14ac:dyDescent="0.25">
      <c r="M1240">
        <v>2014</v>
      </c>
      <c r="N1240" t="s">
        <v>6</v>
      </c>
      <c r="O1240" t="s">
        <v>62</v>
      </c>
      <c r="P1240" t="s">
        <v>36</v>
      </c>
      <c r="Q1240">
        <v>8</v>
      </c>
    </row>
    <row r="1241" spans="13:17" x14ac:dyDescent="0.25">
      <c r="M1241">
        <v>2015</v>
      </c>
      <c r="N1241" t="s">
        <v>6</v>
      </c>
      <c r="O1241" t="s">
        <v>62</v>
      </c>
      <c r="P1241" t="s">
        <v>36</v>
      </c>
      <c r="Q1241">
        <v>9.5709999999999997</v>
      </c>
    </row>
    <row r="1242" spans="13:17" x14ac:dyDescent="0.25">
      <c r="M1242">
        <v>2016</v>
      </c>
      <c r="N1242" t="s">
        <v>6</v>
      </c>
      <c r="O1242" t="s">
        <v>62</v>
      </c>
      <c r="P1242" t="s">
        <v>36</v>
      </c>
      <c r="Q1242">
        <v>3.335</v>
      </c>
    </row>
    <row r="1243" spans="13:17" x14ac:dyDescent="0.25">
      <c r="M1243">
        <v>2019</v>
      </c>
      <c r="N1243" t="s">
        <v>6</v>
      </c>
      <c r="O1243" t="s">
        <v>62</v>
      </c>
      <c r="P1243" t="s">
        <v>36</v>
      </c>
      <c r="Q1243">
        <v>0</v>
      </c>
    </row>
    <row r="1244" spans="13:17" x14ac:dyDescent="0.25">
      <c r="M1244">
        <v>2020</v>
      </c>
      <c r="N1244" t="s">
        <v>6</v>
      </c>
      <c r="O1244" t="s">
        <v>62</v>
      </c>
      <c r="P1244" t="s">
        <v>36</v>
      </c>
      <c r="Q1244">
        <v>0</v>
      </c>
    </row>
    <row r="1245" spans="13:17" x14ac:dyDescent="0.25">
      <c r="M1245">
        <v>2021</v>
      </c>
      <c r="N1245" t="s">
        <v>6</v>
      </c>
      <c r="O1245" t="s">
        <v>62</v>
      </c>
      <c r="P1245" t="s">
        <v>36</v>
      </c>
      <c r="Q1245">
        <v>0.75</v>
      </c>
    </row>
    <row r="1246" spans="13:17" x14ac:dyDescent="0.25">
      <c r="M1246">
        <v>2021</v>
      </c>
      <c r="N1246" t="s">
        <v>13</v>
      </c>
      <c r="O1246" t="s">
        <v>62</v>
      </c>
      <c r="P1246" t="s">
        <v>36</v>
      </c>
      <c r="Q1246">
        <v>5</v>
      </c>
    </row>
    <row r="1247" spans="13:17" x14ac:dyDescent="0.25">
      <c r="M1247">
        <v>2015</v>
      </c>
      <c r="N1247" t="s">
        <v>12</v>
      </c>
      <c r="O1247" t="s">
        <v>62</v>
      </c>
      <c r="P1247" t="s">
        <v>36</v>
      </c>
      <c r="Q1247">
        <v>7.9500000000000001E-2</v>
      </c>
    </row>
    <row r="1248" spans="13:17" x14ac:dyDescent="0.25">
      <c r="M1248">
        <v>2016</v>
      </c>
      <c r="N1248" t="s">
        <v>12</v>
      </c>
      <c r="O1248" t="s">
        <v>62</v>
      </c>
      <c r="P1248" t="s">
        <v>36</v>
      </c>
      <c r="Q1248">
        <v>0.121</v>
      </c>
    </row>
    <row r="1249" spans="13:17" x14ac:dyDescent="0.25">
      <c r="M1249">
        <v>2009</v>
      </c>
      <c r="N1249" t="s">
        <v>11</v>
      </c>
      <c r="O1249" t="s">
        <v>62</v>
      </c>
      <c r="P1249" t="s">
        <v>36</v>
      </c>
      <c r="Q1249">
        <v>3.68465</v>
      </c>
    </row>
    <row r="1250" spans="13:17" x14ac:dyDescent="0.25">
      <c r="M1250">
        <v>2010</v>
      </c>
      <c r="N1250" t="s">
        <v>11</v>
      </c>
      <c r="O1250" t="s">
        <v>62</v>
      </c>
      <c r="P1250" t="s">
        <v>36</v>
      </c>
      <c r="Q1250">
        <v>3.2338</v>
      </c>
    </row>
    <row r="1251" spans="13:17" x14ac:dyDescent="0.25">
      <c r="M1251">
        <v>2011</v>
      </c>
      <c r="N1251" t="s">
        <v>11</v>
      </c>
      <c r="O1251" t="s">
        <v>62</v>
      </c>
      <c r="P1251" t="s">
        <v>36</v>
      </c>
      <c r="Q1251">
        <v>1.24665</v>
      </c>
    </row>
    <row r="1252" spans="13:17" x14ac:dyDescent="0.25">
      <c r="M1252">
        <v>2012</v>
      </c>
      <c r="N1252" t="s">
        <v>11</v>
      </c>
      <c r="O1252" t="s">
        <v>62</v>
      </c>
      <c r="P1252" t="s">
        <v>36</v>
      </c>
      <c r="Q1252">
        <v>0.44001000000000001</v>
      </c>
    </row>
    <row r="1253" spans="13:17" x14ac:dyDescent="0.25">
      <c r="M1253">
        <v>2013</v>
      </c>
      <c r="N1253" t="s">
        <v>11</v>
      </c>
      <c r="O1253" t="s">
        <v>62</v>
      </c>
      <c r="P1253" t="s">
        <v>36</v>
      </c>
      <c r="Q1253">
        <v>1.1906000000000001</v>
      </c>
    </row>
    <row r="1254" spans="13:17" x14ac:dyDescent="0.25">
      <c r="M1254">
        <v>2014</v>
      </c>
      <c r="N1254" t="s">
        <v>11</v>
      </c>
      <c r="O1254" t="s">
        <v>62</v>
      </c>
      <c r="P1254" t="s">
        <v>36</v>
      </c>
      <c r="Q1254">
        <v>1.7869600000000001</v>
      </c>
    </row>
    <row r="1255" spans="13:17" x14ac:dyDescent="0.25">
      <c r="M1255">
        <v>2015</v>
      </c>
      <c r="N1255" t="s">
        <v>11</v>
      </c>
      <c r="O1255" t="s">
        <v>62</v>
      </c>
      <c r="P1255" t="s">
        <v>36</v>
      </c>
      <c r="Q1255">
        <v>1.85114</v>
      </c>
    </row>
    <row r="1256" spans="13:17" x14ac:dyDescent="0.25">
      <c r="M1256">
        <v>2016</v>
      </c>
      <c r="N1256" t="s">
        <v>11</v>
      </c>
      <c r="O1256" t="s">
        <v>62</v>
      </c>
      <c r="P1256" t="s">
        <v>36</v>
      </c>
      <c r="Q1256">
        <v>7.7560000000000004E-2</v>
      </c>
    </row>
    <row r="1257" spans="13:17" x14ac:dyDescent="0.25">
      <c r="M1257">
        <v>2017</v>
      </c>
      <c r="N1257" t="s">
        <v>11</v>
      </c>
      <c r="O1257" t="s">
        <v>62</v>
      </c>
      <c r="P1257" t="s">
        <v>36</v>
      </c>
      <c r="Q1257">
        <v>2.1505899999999998</v>
      </c>
    </row>
    <row r="1258" spans="13:17" x14ac:dyDescent="0.25">
      <c r="M1258">
        <v>2018</v>
      </c>
      <c r="N1258" t="s">
        <v>11</v>
      </c>
      <c r="O1258" t="s">
        <v>62</v>
      </c>
      <c r="P1258" t="s">
        <v>36</v>
      </c>
      <c r="Q1258">
        <v>1.40716</v>
      </c>
    </row>
    <row r="1259" spans="13:17" x14ac:dyDescent="0.25">
      <c r="M1259">
        <v>2019</v>
      </c>
      <c r="N1259" t="s">
        <v>11</v>
      </c>
      <c r="O1259" t="s">
        <v>62</v>
      </c>
      <c r="P1259" t="s">
        <v>36</v>
      </c>
      <c r="Q1259">
        <v>1.26959</v>
      </c>
    </row>
    <row r="1260" spans="13:17" x14ac:dyDescent="0.25">
      <c r="M1260">
        <v>2020</v>
      </c>
      <c r="N1260" t="s">
        <v>11</v>
      </c>
      <c r="O1260" t="s">
        <v>62</v>
      </c>
      <c r="P1260" t="s">
        <v>36</v>
      </c>
      <c r="Q1260">
        <v>1.7402249999999999</v>
      </c>
    </row>
    <row r="1261" spans="13:17" x14ac:dyDescent="0.25">
      <c r="M1261">
        <v>2021</v>
      </c>
      <c r="N1261" t="s">
        <v>11</v>
      </c>
      <c r="O1261" t="s">
        <v>62</v>
      </c>
      <c r="P1261" t="s">
        <v>36</v>
      </c>
      <c r="Q1261">
        <v>2.1111599999999999</v>
      </c>
    </row>
    <row r="1262" spans="13:17" x14ac:dyDescent="0.25">
      <c r="M1262">
        <v>2022</v>
      </c>
      <c r="N1262" t="s">
        <v>11</v>
      </c>
      <c r="O1262" t="s">
        <v>62</v>
      </c>
      <c r="P1262" t="s">
        <v>36</v>
      </c>
      <c r="Q1262">
        <v>1.6004400000000001</v>
      </c>
    </row>
    <row r="1263" spans="13:17" x14ac:dyDescent="0.25">
      <c r="M1263">
        <v>2023</v>
      </c>
      <c r="N1263" t="s">
        <v>11</v>
      </c>
      <c r="O1263" t="s">
        <v>62</v>
      </c>
      <c r="P1263" t="s">
        <v>36</v>
      </c>
      <c r="Q1263">
        <v>1.69628</v>
      </c>
    </row>
    <row r="1264" spans="13:17" x14ac:dyDescent="0.25">
      <c r="M1264">
        <v>2024</v>
      </c>
      <c r="N1264" t="s">
        <v>11</v>
      </c>
      <c r="O1264" t="s">
        <v>62</v>
      </c>
      <c r="P1264" t="s">
        <v>36</v>
      </c>
      <c r="Q1264">
        <v>1.559709</v>
      </c>
    </row>
    <row r="1265" spans="13:17" x14ac:dyDescent="0.25">
      <c r="M1265">
        <v>1978</v>
      </c>
      <c r="N1265" t="s">
        <v>1</v>
      </c>
      <c r="O1265" t="s">
        <v>62</v>
      </c>
      <c r="P1265" t="s">
        <v>36</v>
      </c>
      <c r="Q1265">
        <v>8</v>
      </c>
    </row>
    <row r="1266" spans="13:17" x14ac:dyDescent="0.25">
      <c r="M1266">
        <v>2013</v>
      </c>
      <c r="N1266" t="s">
        <v>1</v>
      </c>
      <c r="O1266" t="s">
        <v>62</v>
      </c>
      <c r="P1266" t="s">
        <v>36</v>
      </c>
      <c r="Q1266">
        <v>4.8733000000000004</v>
      </c>
    </row>
    <row r="1267" spans="13:17" x14ac:dyDescent="0.25">
      <c r="M1267">
        <v>2015</v>
      </c>
      <c r="N1267" t="s">
        <v>1</v>
      </c>
      <c r="O1267" t="s">
        <v>62</v>
      </c>
      <c r="P1267" t="s">
        <v>36</v>
      </c>
      <c r="Q1267">
        <v>8.0681999999999992</v>
      </c>
    </row>
    <row r="1268" spans="13:17" x14ac:dyDescent="0.25">
      <c r="M1268">
        <v>2016</v>
      </c>
      <c r="N1268" t="s">
        <v>1</v>
      </c>
      <c r="O1268" t="s">
        <v>62</v>
      </c>
      <c r="P1268" t="s">
        <v>36</v>
      </c>
      <c r="Q1268">
        <v>13.932259999999999</v>
      </c>
    </row>
    <row r="1269" spans="13:17" x14ac:dyDescent="0.25">
      <c r="M1269">
        <v>2017</v>
      </c>
      <c r="N1269" t="s">
        <v>1</v>
      </c>
      <c r="O1269" t="s">
        <v>62</v>
      </c>
      <c r="P1269" t="s">
        <v>36</v>
      </c>
      <c r="Q1269">
        <v>2.0985999999999998</v>
      </c>
    </row>
    <row r="1270" spans="13:17" x14ac:dyDescent="0.25">
      <c r="M1270">
        <v>2018</v>
      </c>
      <c r="N1270" t="s">
        <v>1</v>
      </c>
      <c r="O1270" t="s">
        <v>62</v>
      </c>
      <c r="P1270" t="s">
        <v>36</v>
      </c>
      <c r="Q1270">
        <v>10.103300000000001</v>
      </c>
    </row>
    <row r="1271" spans="13:17" x14ac:dyDescent="0.25">
      <c r="M1271">
        <v>2019</v>
      </c>
      <c r="N1271" t="s">
        <v>1</v>
      </c>
      <c r="O1271" t="s">
        <v>62</v>
      </c>
      <c r="P1271" t="s">
        <v>36</v>
      </c>
      <c r="Q1271">
        <v>3.411</v>
      </c>
    </row>
    <row r="1272" spans="13:17" x14ac:dyDescent="0.25">
      <c r="M1272">
        <v>2022</v>
      </c>
      <c r="N1272" t="s">
        <v>1</v>
      </c>
      <c r="O1272" t="s">
        <v>62</v>
      </c>
      <c r="P1272" t="s">
        <v>36</v>
      </c>
      <c r="Q1272">
        <v>3.39</v>
      </c>
    </row>
    <row r="1273" spans="13:17" x14ac:dyDescent="0.25">
      <c r="M1273">
        <v>2023</v>
      </c>
      <c r="N1273" t="s">
        <v>1</v>
      </c>
      <c r="O1273" t="s">
        <v>62</v>
      </c>
      <c r="P1273" t="s">
        <v>36</v>
      </c>
      <c r="Q1273">
        <v>0</v>
      </c>
    </row>
    <row r="1274" spans="13:17" x14ac:dyDescent="0.25">
      <c r="M1274">
        <v>2024</v>
      </c>
      <c r="N1274" t="s">
        <v>1</v>
      </c>
      <c r="O1274" t="s">
        <v>62</v>
      </c>
      <c r="P1274" t="s">
        <v>36</v>
      </c>
      <c r="Q1274">
        <v>0</v>
      </c>
    </row>
    <row r="1275" spans="13:17" x14ac:dyDescent="0.25">
      <c r="M1275">
        <v>2013</v>
      </c>
      <c r="N1275" t="s">
        <v>7</v>
      </c>
      <c r="O1275" t="s">
        <v>62</v>
      </c>
      <c r="P1275" t="s">
        <v>36</v>
      </c>
      <c r="Q1275">
        <v>1.2999999999999999E-2</v>
      </c>
    </row>
    <row r="1276" spans="13:17" x14ac:dyDescent="0.25">
      <c r="M1276">
        <v>2003</v>
      </c>
      <c r="N1276" t="s">
        <v>5</v>
      </c>
      <c r="O1276" t="s">
        <v>62</v>
      </c>
      <c r="P1276" t="s">
        <v>36</v>
      </c>
      <c r="Q1276">
        <v>0.312</v>
      </c>
    </row>
    <row r="1277" spans="13:17" x14ac:dyDescent="0.25">
      <c r="M1277">
        <v>1985</v>
      </c>
      <c r="N1277" t="s">
        <v>2</v>
      </c>
      <c r="O1277" t="s">
        <v>63</v>
      </c>
      <c r="P1277" t="s">
        <v>36</v>
      </c>
      <c r="Q1277">
        <v>3</v>
      </c>
    </row>
    <row r="1278" spans="13:17" x14ac:dyDescent="0.25">
      <c r="M1278">
        <v>1993</v>
      </c>
      <c r="N1278" t="s">
        <v>2</v>
      </c>
      <c r="O1278" t="s">
        <v>63</v>
      </c>
      <c r="P1278" t="s">
        <v>36</v>
      </c>
      <c r="Q1278">
        <v>65</v>
      </c>
    </row>
    <row r="1279" spans="13:17" x14ac:dyDescent="0.25">
      <c r="M1279">
        <v>1994</v>
      </c>
      <c r="N1279" t="s">
        <v>2</v>
      </c>
      <c r="O1279" t="s">
        <v>63</v>
      </c>
      <c r="P1279" t="s">
        <v>36</v>
      </c>
      <c r="Q1279">
        <v>101</v>
      </c>
    </row>
    <row r="1280" spans="13:17" x14ac:dyDescent="0.25">
      <c r="M1280">
        <v>1995</v>
      </c>
      <c r="N1280" t="s">
        <v>2</v>
      </c>
      <c r="O1280" t="s">
        <v>63</v>
      </c>
      <c r="P1280" t="s">
        <v>36</v>
      </c>
      <c r="Q1280">
        <v>26</v>
      </c>
    </row>
    <row r="1281" spans="13:17" x14ac:dyDescent="0.25">
      <c r="M1281">
        <v>1996</v>
      </c>
      <c r="N1281" t="s">
        <v>2</v>
      </c>
      <c r="O1281" t="s">
        <v>63</v>
      </c>
      <c r="P1281" t="s">
        <v>36</v>
      </c>
      <c r="Q1281">
        <v>144</v>
      </c>
    </row>
    <row r="1282" spans="13:17" x14ac:dyDescent="0.25">
      <c r="M1282">
        <v>1997</v>
      </c>
      <c r="N1282" t="s">
        <v>2</v>
      </c>
      <c r="O1282" t="s">
        <v>63</v>
      </c>
      <c r="P1282" t="s">
        <v>36</v>
      </c>
      <c r="Q1282">
        <v>79</v>
      </c>
    </row>
    <row r="1283" spans="13:17" x14ac:dyDescent="0.25">
      <c r="M1283">
        <v>1998</v>
      </c>
      <c r="N1283" t="s">
        <v>2</v>
      </c>
      <c r="O1283" t="s">
        <v>63</v>
      </c>
      <c r="P1283" t="s">
        <v>36</v>
      </c>
      <c r="Q1283">
        <v>32</v>
      </c>
    </row>
    <row r="1284" spans="13:17" x14ac:dyDescent="0.25">
      <c r="M1284">
        <v>1999</v>
      </c>
      <c r="N1284" t="s">
        <v>2</v>
      </c>
      <c r="O1284" t="s">
        <v>63</v>
      </c>
      <c r="P1284" t="s">
        <v>36</v>
      </c>
      <c r="Q1284">
        <v>36</v>
      </c>
    </row>
    <row r="1285" spans="13:17" x14ac:dyDescent="0.25">
      <c r="M1285">
        <v>2000</v>
      </c>
      <c r="N1285" t="s">
        <v>2</v>
      </c>
      <c r="O1285" t="s">
        <v>63</v>
      </c>
      <c r="P1285" t="s">
        <v>36</v>
      </c>
      <c r="Q1285">
        <v>39.250999999999998</v>
      </c>
    </row>
    <row r="1286" spans="13:17" x14ac:dyDescent="0.25">
      <c r="M1286">
        <v>2001</v>
      </c>
      <c r="N1286" t="s">
        <v>2</v>
      </c>
      <c r="O1286" t="s">
        <v>63</v>
      </c>
      <c r="P1286" t="s">
        <v>36</v>
      </c>
      <c r="Q1286">
        <v>78.099999999999994</v>
      </c>
    </row>
    <row r="1287" spans="13:17" x14ac:dyDescent="0.25">
      <c r="M1287">
        <v>2002</v>
      </c>
      <c r="N1287" t="s">
        <v>2</v>
      </c>
      <c r="O1287" t="s">
        <v>63</v>
      </c>
      <c r="P1287" t="s">
        <v>36</v>
      </c>
      <c r="Q1287">
        <v>75.099999999999994</v>
      </c>
    </row>
    <row r="1288" spans="13:17" x14ac:dyDescent="0.25">
      <c r="M1288">
        <v>2003</v>
      </c>
      <c r="N1288" t="s">
        <v>2</v>
      </c>
      <c r="O1288" t="s">
        <v>63</v>
      </c>
      <c r="P1288" t="s">
        <v>36</v>
      </c>
      <c r="Q1288">
        <v>57.924999999999997</v>
      </c>
    </row>
    <row r="1289" spans="13:17" x14ac:dyDescent="0.25">
      <c r="M1289">
        <v>2004</v>
      </c>
      <c r="N1289" t="s">
        <v>2</v>
      </c>
      <c r="O1289" t="s">
        <v>63</v>
      </c>
      <c r="P1289" t="s">
        <v>36</v>
      </c>
      <c r="Q1289">
        <v>20.331</v>
      </c>
    </row>
    <row r="1290" spans="13:17" x14ac:dyDescent="0.25">
      <c r="M1290">
        <v>2005</v>
      </c>
      <c r="N1290" t="s">
        <v>2</v>
      </c>
      <c r="O1290" t="s">
        <v>63</v>
      </c>
      <c r="P1290" t="s">
        <v>36</v>
      </c>
      <c r="Q1290">
        <v>46.405000000000001</v>
      </c>
    </row>
    <row r="1291" spans="13:17" x14ac:dyDescent="0.25">
      <c r="M1291">
        <v>2006</v>
      </c>
      <c r="N1291" t="s">
        <v>2</v>
      </c>
      <c r="O1291" t="s">
        <v>63</v>
      </c>
      <c r="P1291" t="s">
        <v>36</v>
      </c>
      <c r="Q1291">
        <v>55.991</v>
      </c>
    </row>
    <row r="1292" spans="13:17" x14ac:dyDescent="0.25">
      <c r="M1292">
        <v>2007</v>
      </c>
      <c r="N1292" t="s">
        <v>2</v>
      </c>
      <c r="O1292" t="s">
        <v>63</v>
      </c>
      <c r="P1292" t="s">
        <v>36</v>
      </c>
      <c r="Q1292">
        <v>47.906149999999997</v>
      </c>
    </row>
    <row r="1293" spans="13:17" x14ac:dyDescent="0.25">
      <c r="M1293">
        <v>2008</v>
      </c>
      <c r="N1293" t="s">
        <v>2</v>
      </c>
      <c r="O1293" t="s">
        <v>63</v>
      </c>
      <c r="P1293" t="s">
        <v>36</v>
      </c>
      <c r="Q1293">
        <v>29.626000000000001</v>
      </c>
    </row>
    <row r="1294" spans="13:17" x14ac:dyDescent="0.25">
      <c r="M1294">
        <v>2009</v>
      </c>
      <c r="N1294" t="s">
        <v>2</v>
      </c>
      <c r="O1294" t="s">
        <v>63</v>
      </c>
      <c r="P1294" t="s">
        <v>36</v>
      </c>
      <c r="Q1294">
        <v>2.7290000000000001</v>
      </c>
    </row>
    <row r="1295" spans="13:17" x14ac:dyDescent="0.25">
      <c r="M1295">
        <v>2010</v>
      </c>
      <c r="N1295" t="s">
        <v>2</v>
      </c>
      <c r="O1295" t="s">
        <v>63</v>
      </c>
      <c r="P1295" t="s">
        <v>36</v>
      </c>
      <c r="Q1295">
        <v>4.7629999999999999</v>
      </c>
    </row>
    <row r="1296" spans="13:17" x14ac:dyDescent="0.25">
      <c r="M1296">
        <v>2011</v>
      </c>
      <c r="N1296" t="s">
        <v>2</v>
      </c>
      <c r="O1296" t="s">
        <v>63</v>
      </c>
      <c r="P1296" t="s">
        <v>36</v>
      </c>
      <c r="Q1296">
        <v>10.791</v>
      </c>
    </row>
    <row r="1297" spans="13:17" x14ac:dyDescent="0.25">
      <c r="M1297">
        <v>2012</v>
      </c>
      <c r="N1297" t="s">
        <v>2</v>
      </c>
      <c r="O1297" t="s">
        <v>63</v>
      </c>
      <c r="P1297" t="s">
        <v>36</v>
      </c>
      <c r="Q1297">
        <v>8.1010000000000009</v>
      </c>
    </row>
    <row r="1298" spans="13:17" x14ac:dyDescent="0.25">
      <c r="M1298">
        <v>2013</v>
      </c>
      <c r="N1298" t="s">
        <v>2</v>
      </c>
      <c r="O1298" t="s">
        <v>63</v>
      </c>
      <c r="P1298" t="s">
        <v>36</v>
      </c>
      <c r="Q1298">
        <v>0.878</v>
      </c>
    </row>
    <row r="1299" spans="13:17" x14ac:dyDescent="0.25">
      <c r="M1299">
        <v>2014</v>
      </c>
      <c r="N1299" t="s">
        <v>2</v>
      </c>
      <c r="O1299" t="s">
        <v>63</v>
      </c>
      <c r="P1299" t="s">
        <v>36</v>
      </c>
      <c r="Q1299">
        <v>52.970999999999997</v>
      </c>
    </row>
    <row r="1300" spans="13:17" x14ac:dyDescent="0.25">
      <c r="M1300">
        <v>2015</v>
      </c>
      <c r="N1300" t="s">
        <v>2</v>
      </c>
      <c r="O1300" t="s">
        <v>63</v>
      </c>
      <c r="P1300" t="s">
        <v>36</v>
      </c>
      <c r="Q1300">
        <v>3.8899999999999997E-2</v>
      </c>
    </row>
    <row r="1301" spans="13:17" x14ac:dyDescent="0.25">
      <c r="M1301">
        <v>1996</v>
      </c>
      <c r="N1301" t="s">
        <v>68</v>
      </c>
      <c r="O1301" t="s">
        <v>63</v>
      </c>
      <c r="P1301" t="s">
        <v>36</v>
      </c>
      <c r="Q1301">
        <v>13</v>
      </c>
    </row>
    <row r="1302" spans="13:17" x14ac:dyDescent="0.25">
      <c r="M1302">
        <v>1997</v>
      </c>
      <c r="N1302" t="s">
        <v>68</v>
      </c>
      <c r="O1302" t="s">
        <v>63</v>
      </c>
      <c r="P1302" t="s">
        <v>36</v>
      </c>
      <c r="Q1302">
        <v>13</v>
      </c>
    </row>
    <row r="1303" spans="13:17" x14ac:dyDescent="0.25">
      <c r="M1303">
        <v>1998</v>
      </c>
      <c r="N1303" t="s">
        <v>68</v>
      </c>
      <c r="O1303" t="s">
        <v>63</v>
      </c>
      <c r="P1303" t="s">
        <v>36</v>
      </c>
      <c r="Q1303">
        <v>13</v>
      </c>
    </row>
    <row r="1304" spans="13:17" x14ac:dyDescent="0.25">
      <c r="M1304">
        <v>1999</v>
      </c>
      <c r="N1304" t="s">
        <v>68</v>
      </c>
      <c r="O1304" t="s">
        <v>63</v>
      </c>
      <c r="P1304" t="s">
        <v>36</v>
      </c>
      <c r="Q1304">
        <v>13</v>
      </c>
    </row>
    <row r="1305" spans="13:17" x14ac:dyDescent="0.25">
      <c r="M1305">
        <v>2009</v>
      </c>
      <c r="N1305" t="s">
        <v>11</v>
      </c>
      <c r="O1305" t="s">
        <v>63</v>
      </c>
      <c r="P1305" t="s">
        <v>36</v>
      </c>
      <c r="Q1305">
        <v>1.4430099999999999</v>
      </c>
    </row>
    <row r="1306" spans="13:17" x14ac:dyDescent="0.25">
      <c r="M1306">
        <v>2010</v>
      </c>
      <c r="N1306" t="s">
        <v>11</v>
      </c>
      <c r="O1306" t="s">
        <v>63</v>
      </c>
      <c r="P1306" t="s">
        <v>36</v>
      </c>
      <c r="Q1306">
        <v>0.70904</v>
      </c>
    </row>
    <row r="1307" spans="13:17" x14ac:dyDescent="0.25">
      <c r="M1307">
        <v>2011</v>
      </c>
      <c r="N1307" t="s">
        <v>11</v>
      </c>
      <c r="O1307" t="s">
        <v>63</v>
      </c>
      <c r="P1307" t="s">
        <v>36</v>
      </c>
      <c r="Q1307">
        <v>38.572200000000002</v>
      </c>
    </row>
    <row r="1308" spans="13:17" x14ac:dyDescent="0.25">
      <c r="M1308">
        <v>2012</v>
      </c>
      <c r="N1308" t="s">
        <v>11</v>
      </c>
      <c r="O1308" t="s">
        <v>63</v>
      </c>
      <c r="P1308" t="s">
        <v>36</v>
      </c>
      <c r="Q1308">
        <v>1.32</v>
      </c>
    </row>
    <row r="1309" spans="13:17" x14ac:dyDescent="0.25">
      <c r="M1309">
        <v>2013</v>
      </c>
      <c r="N1309" t="s">
        <v>11</v>
      </c>
      <c r="O1309" t="s">
        <v>63</v>
      </c>
      <c r="P1309" t="s">
        <v>36</v>
      </c>
      <c r="Q1309">
        <v>4.1710000000000003</v>
      </c>
    </row>
    <row r="1310" spans="13:17" x14ac:dyDescent="0.25">
      <c r="M1310">
        <v>2014</v>
      </c>
      <c r="N1310" t="s">
        <v>11</v>
      </c>
      <c r="O1310" t="s">
        <v>63</v>
      </c>
      <c r="P1310" t="s">
        <v>36</v>
      </c>
      <c r="Q1310">
        <v>4.8000000000000001E-2</v>
      </c>
    </row>
    <row r="1311" spans="13:17" x14ac:dyDescent="0.25">
      <c r="M1311">
        <v>2016</v>
      </c>
      <c r="N1311" t="s">
        <v>11</v>
      </c>
      <c r="O1311" t="s">
        <v>63</v>
      </c>
      <c r="P1311" t="s">
        <v>36</v>
      </c>
      <c r="Q1311">
        <v>1.38303</v>
      </c>
    </row>
    <row r="1312" spans="13:17" x14ac:dyDescent="0.25">
      <c r="M1312">
        <v>2017</v>
      </c>
      <c r="N1312" t="s">
        <v>11</v>
      </c>
      <c r="O1312" t="s">
        <v>63</v>
      </c>
      <c r="P1312" t="s">
        <v>36</v>
      </c>
      <c r="Q1312">
        <v>0.47252</v>
      </c>
    </row>
    <row r="1313" spans="13:17" x14ac:dyDescent="0.25">
      <c r="M1313">
        <v>2018</v>
      </c>
      <c r="N1313" t="s">
        <v>11</v>
      </c>
      <c r="O1313" t="s">
        <v>63</v>
      </c>
      <c r="P1313" t="s">
        <v>36</v>
      </c>
      <c r="Q1313">
        <v>0.26384000000000002</v>
      </c>
    </row>
    <row r="1314" spans="13:17" x14ac:dyDescent="0.25">
      <c r="M1314">
        <v>2019</v>
      </c>
      <c r="N1314" t="s">
        <v>11</v>
      </c>
      <c r="O1314" t="s">
        <v>63</v>
      </c>
      <c r="P1314" t="s">
        <v>36</v>
      </c>
      <c r="Q1314">
        <v>0.24798999999999999</v>
      </c>
    </row>
    <row r="1315" spans="13:17" x14ac:dyDescent="0.25">
      <c r="M1315">
        <v>2020</v>
      </c>
      <c r="N1315" t="s">
        <v>11</v>
      </c>
      <c r="O1315" t="s">
        <v>63</v>
      </c>
      <c r="P1315" t="s">
        <v>36</v>
      </c>
      <c r="Q1315">
        <v>0.53220000000000001</v>
      </c>
    </row>
    <row r="1316" spans="13:17" x14ac:dyDescent="0.25">
      <c r="M1316">
        <v>2021</v>
      </c>
      <c r="N1316" t="s">
        <v>11</v>
      </c>
      <c r="O1316" t="s">
        <v>63</v>
      </c>
      <c r="P1316" t="s">
        <v>36</v>
      </c>
      <c r="Q1316">
        <v>0.5655</v>
      </c>
    </row>
    <row r="1317" spans="13:17" x14ac:dyDescent="0.25">
      <c r="M1317">
        <v>2022</v>
      </c>
      <c r="N1317" t="s">
        <v>11</v>
      </c>
      <c r="O1317" t="s">
        <v>63</v>
      </c>
      <c r="P1317" t="s">
        <v>36</v>
      </c>
      <c r="Q1317">
        <v>1.0450120000000001</v>
      </c>
    </row>
    <row r="1318" spans="13:17" x14ac:dyDescent="0.25">
      <c r="M1318">
        <v>2023</v>
      </c>
      <c r="N1318" t="s">
        <v>11</v>
      </c>
      <c r="O1318" t="s">
        <v>63</v>
      </c>
      <c r="P1318" t="s">
        <v>36</v>
      </c>
      <c r="Q1318">
        <v>0.21371999999999999</v>
      </c>
    </row>
    <row r="1319" spans="13:17" x14ac:dyDescent="0.25">
      <c r="M1319">
        <v>2024</v>
      </c>
      <c r="N1319" t="s">
        <v>11</v>
      </c>
      <c r="O1319" t="s">
        <v>63</v>
      </c>
      <c r="P1319" t="s">
        <v>36</v>
      </c>
      <c r="Q1319">
        <v>7.5749999999999998E-2</v>
      </c>
    </row>
    <row r="1320" spans="13:17" x14ac:dyDescent="0.25">
      <c r="M1320">
        <v>2009</v>
      </c>
      <c r="N1320" t="s">
        <v>1</v>
      </c>
      <c r="O1320" t="s">
        <v>63</v>
      </c>
      <c r="P1320" t="s">
        <v>36</v>
      </c>
      <c r="Q1320">
        <v>329.08638000000002</v>
      </c>
    </row>
    <row r="1321" spans="13:17" x14ac:dyDescent="0.25">
      <c r="M1321">
        <v>2010</v>
      </c>
      <c r="N1321" t="s">
        <v>1</v>
      </c>
      <c r="O1321" t="s">
        <v>63</v>
      </c>
      <c r="P1321" t="s">
        <v>36</v>
      </c>
      <c r="Q1321">
        <v>920.91530999999998</v>
      </c>
    </row>
    <row r="1322" spans="13:17" x14ac:dyDescent="0.25">
      <c r="M1322">
        <v>2011</v>
      </c>
      <c r="N1322" t="s">
        <v>1</v>
      </c>
      <c r="O1322" t="s">
        <v>63</v>
      </c>
      <c r="P1322" t="s">
        <v>36</v>
      </c>
      <c r="Q1322">
        <v>694.17526999999995</v>
      </c>
    </row>
    <row r="1323" spans="13:17" x14ac:dyDescent="0.25">
      <c r="M1323">
        <v>2012</v>
      </c>
      <c r="N1323" t="s">
        <v>1</v>
      </c>
      <c r="O1323" t="s">
        <v>63</v>
      </c>
      <c r="P1323" t="s">
        <v>36</v>
      </c>
      <c r="Q1323">
        <v>717.89700000000005</v>
      </c>
    </row>
    <row r="1324" spans="13:17" x14ac:dyDescent="0.25">
      <c r="M1324">
        <v>2014</v>
      </c>
      <c r="N1324" t="s">
        <v>1</v>
      </c>
      <c r="O1324" t="s">
        <v>63</v>
      </c>
      <c r="P1324" t="s">
        <v>36</v>
      </c>
      <c r="Q1324">
        <v>0.32819999999999999</v>
      </c>
    </row>
    <row r="1325" spans="13:17" x14ac:dyDescent="0.25">
      <c r="M1325">
        <v>2018</v>
      </c>
      <c r="N1325" t="s">
        <v>1</v>
      </c>
      <c r="O1325" t="s">
        <v>63</v>
      </c>
      <c r="P1325" t="s">
        <v>36</v>
      </c>
      <c r="Q1325">
        <v>0.12222</v>
      </c>
    </row>
    <row r="1326" spans="13:17" x14ac:dyDescent="0.25">
      <c r="M1326">
        <v>2019</v>
      </c>
      <c r="N1326" t="s">
        <v>1</v>
      </c>
      <c r="O1326" t="s">
        <v>63</v>
      </c>
      <c r="P1326" t="s">
        <v>36</v>
      </c>
      <c r="Q1326">
        <v>7.5570000000000004</v>
      </c>
    </row>
    <row r="1327" spans="13:17" x14ac:dyDescent="0.25">
      <c r="M1327">
        <v>2019</v>
      </c>
      <c r="N1327" t="s">
        <v>7</v>
      </c>
      <c r="O1327" t="s">
        <v>63</v>
      </c>
      <c r="P1327" t="s">
        <v>36</v>
      </c>
      <c r="Q1327">
        <v>0.10349999999999999</v>
      </c>
    </row>
    <row r="1328" spans="13:17" x14ac:dyDescent="0.25">
      <c r="M1328">
        <v>1965</v>
      </c>
      <c r="N1328" t="s">
        <v>10</v>
      </c>
      <c r="O1328" t="s">
        <v>63</v>
      </c>
      <c r="P1328" t="s">
        <v>36</v>
      </c>
      <c r="Q1328">
        <v>224</v>
      </c>
    </row>
    <row r="1329" spans="13:17" x14ac:dyDescent="0.25">
      <c r="M1329">
        <v>1966</v>
      </c>
      <c r="N1329" t="s">
        <v>10</v>
      </c>
      <c r="O1329" t="s">
        <v>63</v>
      </c>
      <c r="P1329" t="s">
        <v>36</v>
      </c>
      <c r="Q1329">
        <v>224</v>
      </c>
    </row>
    <row r="1330" spans="13:17" x14ac:dyDescent="0.25">
      <c r="M1330">
        <v>1967</v>
      </c>
      <c r="N1330" t="s">
        <v>10</v>
      </c>
      <c r="O1330" t="s">
        <v>63</v>
      </c>
      <c r="P1330" t="s">
        <v>36</v>
      </c>
      <c r="Q1330">
        <v>336</v>
      </c>
    </row>
    <row r="1331" spans="13:17" x14ac:dyDescent="0.25">
      <c r="M1331">
        <v>1968</v>
      </c>
      <c r="N1331" t="s">
        <v>10</v>
      </c>
      <c r="O1331" t="s">
        <v>63</v>
      </c>
      <c r="P1331" t="s">
        <v>36</v>
      </c>
      <c r="Q1331">
        <v>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estDD</vt:lpstr>
      <vt:lpstr>manual_check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Kimoto</dc:creator>
  <cp:lastModifiedBy>Ai Kimoto</cp:lastModifiedBy>
  <dcterms:created xsi:type="dcterms:W3CDTF">2026-04-10T09:07:19Z</dcterms:created>
  <dcterms:modified xsi:type="dcterms:W3CDTF">2026-04-10T11:31:24Z</dcterms:modified>
</cp:coreProperties>
</file>