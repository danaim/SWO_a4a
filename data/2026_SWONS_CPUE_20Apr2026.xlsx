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.kimoto\Downloads\"/>
    </mc:Choice>
  </mc:AlternateContent>
  <xr:revisionPtr revIDLastSave="0" documentId="13_ncr:1_{321E7C09-1557-4DE3-A41B-68592C045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th_CPUE_2026" sheetId="17" r:id="rId1"/>
    <sheet name="South_Figure" sheetId="13" r:id="rId2"/>
    <sheet name="South_Eval2026" sheetId="23" r:id="rId3"/>
    <sheet name="MED_CPUE_2026" sheetId="19" r:id="rId4"/>
    <sheet name="Med_Figure" sheetId="22" r:id="rId5"/>
    <sheet name="Med_Eval2026" sheetId="24" r:id="rId6"/>
    <sheet name="Comp2020vs2026" sheetId="18" r:id="rId7"/>
    <sheet name="original" sheetId="20" r:id="rId8"/>
  </sheets>
  <definedNames>
    <definedName name="avelarval">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37" i="18" l="1"/>
  <c r="DT37" i="18"/>
  <c r="DU36" i="18"/>
  <c r="DT36" i="18"/>
  <c r="DU35" i="18"/>
  <c r="DT35" i="18"/>
  <c r="DU34" i="18"/>
  <c r="DT34" i="18"/>
  <c r="DU33" i="18"/>
  <c r="DT33" i="18"/>
  <c r="DU32" i="18"/>
  <c r="DT32" i="18"/>
  <c r="DU31" i="18"/>
  <c r="DT31" i="18"/>
  <c r="DU30" i="18"/>
  <c r="DT30" i="18"/>
  <c r="DU29" i="18"/>
  <c r="DT29" i="18"/>
  <c r="DU28" i="18"/>
  <c r="DT28" i="18"/>
  <c r="DU27" i="18"/>
  <c r="DT27" i="18"/>
  <c r="DU26" i="18"/>
  <c r="DT26" i="18"/>
  <c r="DU25" i="18"/>
  <c r="DT25" i="18"/>
  <c r="DU24" i="18"/>
  <c r="DT24" i="18"/>
  <c r="DU23" i="18"/>
  <c r="DT23" i="18"/>
  <c r="DU22" i="18"/>
  <c r="DT22" i="18"/>
  <c r="DU21" i="18"/>
  <c r="DT21" i="18"/>
  <c r="DU20" i="18"/>
  <c r="DT20" i="18"/>
  <c r="DU19" i="18"/>
  <c r="DT19" i="18"/>
  <c r="DU18" i="18"/>
  <c r="DT18" i="18"/>
  <c r="DU17" i="18"/>
  <c r="DT17" i="18"/>
  <c r="DU16" i="18"/>
  <c r="DT16" i="18"/>
  <c r="DU15" i="18"/>
  <c r="DT15" i="18"/>
  <c r="DU14" i="18"/>
  <c r="DT14" i="18"/>
  <c r="DU13" i="18"/>
  <c r="DT13" i="18"/>
  <c r="DU12" i="18"/>
  <c r="DT12" i="18"/>
  <c r="DU11" i="18"/>
  <c r="DT11" i="18"/>
  <c r="DU10" i="18"/>
  <c r="DT10" i="18"/>
  <c r="DU9" i="18"/>
  <c r="DT9" i="18"/>
  <c r="DU8" i="18"/>
  <c r="DT8" i="18"/>
  <c r="DU7" i="18"/>
  <c r="DT7" i="18"/>
  <c r="W5" i="22" l="1"/>
  <c r="J28" i="22"/>
  <c r="J27" i="22"/>
  <c r="J25" i="22"/>
  <c r="J24" i="22"/>
  <c r="J23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5" i="22"/>
  <c r="I5" i="22"/>
  <c r="J2" i="22" l="1"/>
  <c r="W19" i="22" s="1"/>
  <c r="J3" i="22"/>
  <c r="R3" i="19"/>
  <c r="J4" i="22" s="1"/>
  <c r="W27" i="22" l="1"/>
  <c r="W17" i="22"/>
  <c r="W16" i="22"/>
  <c r="W15" i="22"/>
  <c r="W14" i="22"/>
  <c r="W13" i="22"/>
  <c r="W12" i="22"/>
  <c r="W11" i="22"/>
  <c r="W10" i="22"/>
  <c r="W9" i="22"/>
  <c r="W3" i="22" s="1"/>
  <c r="W28" i="22"/>
  <c r="W25" i="22"/>
  <c r="W24" i="22"/>
  <c r="W23" i="22"/>
  <c r="W20" i="22"/>
  <c r="W18" i="22"/>
  <c r="AN21" i="20"/>
  <c r="AN22" i="20" s="1"/>
  <c r="AN23" i="20" s="1"/>
  <c r="AN24" i="20" s="1"/>
  <c r="AN25" i="20" s="1"/>
  <c r="AN26" i="20" s="1"/>
  <c r="AN27" i="20" s="1"/>
  <c r="AN28" i="20" s="1"/>
  <c r="AN29" i="20" s="1"/>
  <c r="AN30" i="20" s="1"/>
  <c r="AN31" i="20" s="1"/>
  <c r="AN32" i="20" s="1"/>
  <c r="AN33" i="20" s="1"/>
  <c r="AN34" i="20" s="1"/>
  <c r="AN35" i="20" s="1"/>
  <c r="AN36" i="20" s="1"/>
  <c r="AN37" i="20" s="1"/>
  <c r="AN38" i="20" s="1"/>
  <c r="AN39" i="20" s="1"/>
  <c r="AN40" i="20" s="1"/>
  <c r="AN41" i="20" s="1"/>
  <c r="AN42" i="20" s="1"/>
  <c r="AN43" i="20" s="1"/>
  <c r="AN44" i="20" s="1"/>
  <c r="AN45" i="20" s="1"/>
  <c r="AN46" i="20" s="1"/>
  <c r="AN47" i="20" s="1"/>
  <c r="AN48" i="20" s="1"/>
  <c r="AN49" i="20" s="1"/>
  <c r="AN50" i="20" s="1"/>
  <c r="AN51" i="20" s="1"/>
  <c r="AN52" i="20" s="1"/>
  <c r="AN53" i="20" s="1"/>
  <c r="AN54" i="20" s="1"/>
  <c r="AN55" i="20" s="1"/>
  <c r="AN56" i="20" s="1"/>
  <c r="AN57" i="20" s="1"/>
  <c r="AN58" i="20" s="1"/>
  <c r="AN59" i="20" s="1"/>
  <c r="AN60" i="20" s="1"/>
  <c r="AN61" i="20" s="1"/>
  <c r="AN62" i="20" s="1"/>
  <c r="AN63" i="20" s="1"/>
  <c r="AN64" i="20" s="1"/>
  <c r="AN65" i="20" s="1"/>
  <c r="AN66" i="20" s="1"/>
  <c r="AN67" i="20" s="1"/>
  <c r="AN68" i="20" s="1"/>
  <c r="AN69" i="20" s="1"/>
  <c r="AN70" i="20" s="1"/>
  <c r="AN71" i="20" s="1"/>
  <c r="AN72" i="20" s="1"/>
  <c r="AN73" i="20" s="1"/>
  <c r="AN74" i="20" s="1"/>
  <c r="AN75" i="20" s="1"/>
  <c r="AN76" i="20" s="1"/>
  <c r="AO3" i="20"/>
  <c r="AQ3" i="20"/>
  <c r="CZ71" i="18"/>
  <c r="DE63" i="18" s="1"/>
  <c r="CX71" i="18"/>
  <c r="CY71" i="18"/>
  <c r="DD30" i="18" s="1"/>
  <c r="CV71" i="18"/>
  <c r="DE69" i="18"/>
  <c r="DE68" i="18"/>
  <c r="DE67" i="18"/>
  <c r="DE66" i="18"/>
  <c r="DE65" i="18"/>
  <c r="DE64" i="18"/>
  <c r="DE49" i="18"/>
  <c r="DE48" i="18"/>
  <c r="DE47" i="18"/>
  <c r="DE46" i="18"/>
  <c r="DE45" i="18"/>
  <c r="DE44" i="18"/>
  <c r="DD34" i="18"/>
  <c r="DD33" i="18"/>
  <c r="DD32" i="18"/>
  <c r="DD31" i="18"/>
  <c r="DD28" i="18"/>
  <c r="DD26" i="18"/>
  <c r="DD25" i="18"/>
  <c r="DD24" i="18"/>
  <c r="DD23" i="18"/>
  <c r="DD22" i="18"/>
  <c r="DD21" i="18"/>
  <c r="DE6" i="18"/>
  <c r="DD6" i="18"/>
  <c r="H5" i="13"/>
  <c r="V5" i="13" s="1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5" i="13"/>
  <c r="U5" i="13" s="1"/>
  <c r="N3" i="17"/>
  <c r="H4" i="13" s="1"/>
  <c r="L3" i="17"/>
  <c r="G4" i="13" s="1"/>
  <c r="AK3" i="20"/>
  <c r="DD27" i="18" l="1"/>
  <c r="DD29" i="18"/>
  <c r="G3" i="13"/>
  <c r="H3" i="13"/>
  <c r="DE52" i="18"/>
  <c r="DE35" i="18"/>
  <c r="DE57" i="18"/>
  <c r="DE54" i="18"/>
  <c r="DE56" i="18"/>
  <c r="DE37" i="18"/>
  <c r="DE58" i="18"/>
  <c r="DE39" i="18"/>
  <c r="DE60" i="18"/>
  <c r="DE41" i="18"/>
  <c r="DE42" i="18"/>
  <c r="DE62" i="18"/>
  <c r="DE50" i="18"/>
  <c r="DE51" i="18"/>
  <c r="DE53" i="18"/>
  <c r="DE55" i="18"/>
  <c r="DE36" i="18"/>
  <c r="DE38" i="18"/>
  <c r="DE59" i="18"/>
  <c r="DE40" i="18"/>
  <c r="DE61" i="18"/>
  <c r="DE43" i="18"/>
  <c r="G2" i="13"/>
  <c r="H2" i="13"/>
  <c r="V39" i="13" s="1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DJ71" i="18"/>
  <c r="DI71" i="18"/>
  <c r="DH71" i="18"/>
  <c r="V58" i="13" l="1"/>
  <c r="V57" i="13"/>
  <c r="V56" i="13"/>
  <c r="V37" i="13"/>
  <c r="V35" i="13"/>
  <c r="V55" i="13"/>
  <c r="V41" i="13"/>
  <c r="V61" i="13"/>
  <c r="V60" i="13"/>
  <c r="V40" i="13"/>
  <c r="V36" i="13"/>
  <c r="U23" i="13"/>
  <c r="U20" i="13"/>
  <c r="U24" i="13"/>
  <c r="U34" i="13"/>
  <c r="U33" i="13"/>
  <c r="U32" i="13"/>
  <c r="U31" i="13"/>
  <c r="U30" i="13"/>
  <c r="U29" i="13"/>
  <c r="U28" i="13"/>
  <c r="U27" i="13"/>
  <c r="U26" i="13"/>
  <c r="U25" i="13"/>
  <c r="U22" i="13"/>
  <c r="U21" i="13"/>
  <c r="V62" i="13"/>
  <c r="V42" i="13"/>
  <c r="V59" i="13"/>
  <c r="V54" i="13"/>
  <c r="V53" i="13"/>
  <c r="V52" i="13"/>
  <c r="V51" i="13"/>
  <c r="V50" i="13"/>
  <c r="V49" i="13"/>
  <c r="V68" i="13"/>
  <c r="V48" i="13"/>
  <c r="V67" i="13"/>
  <c r="V47" i="13"/>
  <c r="V66" i="13"/>
  <c r="V46" i="13"/>
  <c r="V65" i="13"/>
  <c r="V45" i="13"/>
  <c r="V64" i="13"/>
  <c r="V44" i="13"/>
  <c r="V43" i="13"/>
  <c r="V63" i="13"/>
  <c r="V38" i="13"/>
  <c r="DK20" i="18"/>
  <c r="DK19" i="18"/>
  <c r="DK18" i="18"/>
  <c r="DK17" i="18"/>
  <c r="DK16" i="18"/>
  <c r="DK15" i="18"/>
  <c r="DK14" i="18"/>
  <c r="DK13" i="18"/>
  <c r="DM52" i="18"/>
  <c r="DL59" i="18"/>
  <c r="DK25" i="18"/>
  <c r="DG8" i="18"/>
  <c r="DG9" i="18" s="1"/>
  <c r="DG10" i="18" s="1"/>
  <c r="DG11" i="18" s="1"/>
  <c r="DG12" i="18" s="1"/>
  <c r="DG13" i="18" s="1"/>
  <c r="DG14" i="18" s="1"/>
  <c r="DG15" i="18" s="1"/>
  <c r="DG16" i="18" s="1"/>
  <c r="DG17" i="18" s="1"/>
  <c r="DG18" i="18" s="1"/>
  <c r="DG19" i="18" s="1"/>
  <c r="DG20" i="18" s="1"/>
  <c r="DG21" i="18" s="1"/>
  <c r="DG22" i="18" s="1"/>
  <c r="DG23" i="18" s="1"/>
  <c r="DG24" i="18" s="1"/>
  <c r="DG25" i="18" s="1"/>
  <c r="DG26" i="18" s="1"/>
  <c r="DG27" i="18" s="1"/>
  <c r="DG28" i="18" s="1"/>
  <c r="DG29" i="18" s="1"/>
  <c r="DG30" i="18" s="1"/>
  <c r="DG31" i="18" s="1"/>
  <c r="DG32" i="18" s="1"/>
  <c r="DG33" i="18" s="1"/>
  <c r="DG34" i="18" s="1"/>
  <c r="DG35" i="18" s="1"/>
  <c r="DG36" i="18" s="1"/>
  <c r="DG37" i="18" s="1"/>
  <c r="DG38" i="18" s="1"/>
  <c r="DG39" i="18" s="1"/>
  <c r="DG40" i="18" s="1"/>
  <c r="DG41" i="18" s="1"/>
  <c r="DG42" i="18" s="1"/>
  <c r="DG43" i="18" s="1"/>
  <c r="DG44" i="18" s="1"/>
  <c r="DG45" i="18" s="1"/>
  <c r="DG46" i="18" s="1"/>
  <c r="DG47" i="18" s="1"/>
  <c r="DG48" i="18" s="1"/>
  <c r="DG49" i="18" s="1"/>
  <c r="DG50" i="18" s="1"/>
  <c r="DG51" i="18" s="1"/>
  <c r="DG52" i="18" s="1"/>
  <c r="DG53" i="18" s="1"/>
  <c r="DG54" i="18" s="1"/>
  <c r="DG55" i="18" s="1"/>
  <c r="DG56" i="18" s="1"/>
  <c r="DG57" i="18" s="1"/>
  <c r="DG58" i="18" s="1"/>
  <c r="DG59" i="18" s="1"/>
  <c r="DG60" i="18" s="1"/>
  <c r="DG61" i="18" s="1"/>
  <c r="DG62" i="18" s="1"/>
  <c r="DG63" i="18" s="1"/>
  <c r="DG64" i="18" s="1"/>
  <c r="DG65" i="18" s="1"/>
  <c r="DG66" i="18" s="1"/>
  <c r="DG67" i="18" s="1"/>
  <c r="DG68" i="18" s="1"/>
  <c r="DG69" i="18" s="1"/>
  <c r="DM6" i="18"/>
  <c r="DL6" i="18"/>
  <c r="DK6" i="18"/>
  <c r="M68" i="13"/>
  <c r="M67" i="13"/>
  <c r="M66" i="13"/>
  <c r="M65" i="13"/>
  <c r="M46" i="13"/>
  <c r="M45" i="13"/>
  <c r="M44" i="13"/>
  <c r="M43" i="13"/>
  <c r="M41" i="13"/>
  <c r="M40" i="13"/>
  <c r="M39" i="13"/>
  <c r="M38" i="13"/>
  <c r="CA32" i="18"/>
  <c r="CA30" i="18"/>
  <c r="BZ30" i="18"/>
  <c r="CA29" i="18"/>
  <c r="BZ29" i="18"/>
  <c r="BX40" i="18"/>
  <c r="CA31" i="18" s="1"/>
  <c r="BW40" i="18"/>
  <c r="BZ31" i="18" s="1"/>
  <c r="BV40" i="18"/>
  <c r="BY23" i="18" s="1"/>
  <c r="CK45" i="18"/>
  <c r="CM36" i="18" s="1"/>
  <c r="CJ45" i="18"/>
  <c r="CL37" i="18" s="1"/>
  <c r="CM38" i="18"/>
  <c r="CM37" i="18"/>
  <c r="CM28" i="18"/>
  <c r="CM6" i="18"/>
  <c r="CL6" i="18"/>
  <c r="CG6" i="18"/>
  <c r="CF6" i="18"/>
  <c r="CE45" i="18"/>
  <c r="CG42" i="18" s="1"/>
  <c r="CD45" i="18"/>
  <c r="CF34" i="18" s="1"/>
  <c r="CW71" i="18"/>
  <c r="DB59" i="18" s="1"/>
  <c r="DC6" i="18"/>
  <c r="CQ30" i="18"/>
  <c r="CS26" i="18" s="1"/>
  <c r="CP30" i="18"/>
  <c r="CR23" i="18" s="1"/>
  <c r="CO24" i="18"/>
  <c r="CO25" i="18" s="1"/>
  <c r="CO26" i="18" s="1"/>
  <c r="CO27" i="18" s="1"/>
  <c r="DB6" i="18"/>
  <c r="DA6" i="18"/>
  <c r="CU8" i="18"/>
  <c r="CU9" i="18" s="1"/>
  <c r="CU10" i="18" s="1"/>
  <c r="CU11" i="18" s="1"/>
  <c r="CU12" i="18" s="1"/>
  <c r="CU13" i="18" s="1"/>
  <c r="CU14" i="18" s="1"/>
  <c r="CU15" i="18" s="1"/>
  <c r="CU16" i="18" s="1"/>
  <c r="CU17" i="18" s="1"/>
  <c r="CU18" i="18" s="1"/>
  <c r="CU19" i="18" s="1"/>
  <c r="CU20" i="18" s="1"/>
  <c r="CU21" i="18" s="1"/>
  <c r="CU22" i="18" s="1"/>
  <c r="CU23" i="18" s="1"/>
  <c r="CU24" i="18" s="1"/>
  <c r="CU25" i="18" s="1"/>
  <c r="CU26" i="18" s="1"/>
  <c r="CU27" i="18" s="1"/>
  <c r="CU28" i="18" s="1"/>
  <c r="CU29" i="18" s="1"/>
  <c r="CU30" i="18" s="1"/>
  <c r="CU31" i="18" s="1"/>
  <c r="CU32" i="18" s="1"/>
  <c r="CU33" i="18" s="1"/>
  <c r="CU34" i="18" s="1"/>
  <c r="CU35" i="18" s="1"/>
  <c r="CU36" i="18" s="1"/>
  <c r="CU37" i="18" s="1"/>
  <c r="CU38" i="18" s="1"/>
  <c r="CU39" i="18" s="1"/>
  <c r="CU40" i="18" s="1"/>
  <c r="CU41" i="18" s="1"/>
  <c r="CU42" i="18" s="1"/>
  <c r="CU43" i="18" s="1"/>
  <c r="CU44" i="18" s="1"/>
  <c r="CU45" i="18" s="1"/>
  <c r="CU46" i="18" s="1"/>
  <c r="CU47" i="18" s="1"/>
  <c r="CU48" i="18" s="1"/>
  <c r="CU49" i="18" s="1"/>
  <c r="CU50" i="18" s="1"/>
  <c r="CU51" i="18" s="1"/>
  <c r="CU52" i="18" s="1"/>
  <c r="CU53" i="18" s="1"/>
  <c r="CU54" i="18" s="1"/>
  <c r="CU55" i="18" s="1"/>
  <c r="CU56" i="18" s="1"/>
  <c r="CU57" i="18" s="1"/>
  <c r="CU58" i="18" s="1"/>
  <c r="CU59" i="18" s="1"/>
  <c r="CU60" i="18" s="1"/>
  <c r="CU61" i="18" s="1"/>
  <c r="CU62" i="18" s="1"/>
  <c r="CU63" i="18" s="1"/>
  <c r="CU64" i="18" s="1"/>
  <c r="CU65" i="18" s="1"/>
  <c r="CU66" i="18" s="1"/>
  <c r="CU67" i="18" s="1"/>
  <c r="CU68" i="18" s="1"/>
  <c r="CU69" i="18" s="1"/>
  <c r="DA29" i="18"/>
  <c r="CM39" i="18" l="1"/>
  <c r="CM40" i="18"/>
  <c r="CA19" i="18"/>
  <c r="CA10" i="18"/>
  <c r="BZ19" i="18"/>
  <c r="BZ20" i="18"/>
  <c r="CA20" i="18"/>
  <c r="BZ10" i="18"/>
  <c r="CA12" i="18"/>
  <c r="CA22" i="18"/>
  <c r="V3" i="13"/>
  <c r="U3" i="13"/>
  <c r="BY19" i="18"/>
  <c r="BY20" i="18"/>
  <c r="BY21" i="18"/>
  <c r="BZ9" i="18"/>
  <c r="BY18" i="18"/>
  <c r="CA9" i="18"/>
  <c r="BY24" i="18"/>
  <c r="BZ23" i="18"/>
  <c r="BY8" i="18"/>
  <c r="BZ12" i="18"/>
  <c r="BZ13" i="18"/>
  <c r="BY29" i="18"/>
  <c r="BY27" i="18"/>
  <c r="BZ15" i="18"/>
  <c r="BZ35" i="18"/>
  <c r="BZ22" i="18"/>
  <c r="BZ33" i="18"/>
  <c r="BZ24" i="18"/>
  <c r="BY7" i="18"/>
  <c r="BY26" i="18"/>
  <c r="CA23" i="18"/>
  <c r="CA14" i="18"/>
  <c r="BY31" i="18"/>
  <c r="CA15" i="18"/>
  <c r="CA25" i="18"/>
  <c r="CA35" i="18"/>
  <c r="CA36" i="18"/>
  <c r="BZ32" i="18"/>
  <c r="BY25" i="18"/>
  <c r="CA13" i="18"/>
  <c r="CA33" i="18"/>
  <c r="BY28" i="18"/>
  <c r="BZ14" i="18"/>
  <c r="BZ34" i="18"/>
  <c r="BY9" i="18"/>
  <c r="CA24" i="18"/>
  <c r="CA34" i="18"/>
  <c r="BY10" i="18"/>
  <c r="BY30" i="18"/>
  <c r="BZ25" i="18"/>
  <c r="BY11" i="18"/>
  <c r="BY12" i="18"/>
  <c r="BY32" i="18"/>
  <c r="BZ16" i="18"/>
  <c r="BZ26" i="18"/>
  <c r="BZ36" i="18"/>
  <c r="BY13" i="18"/>
  <c r="BY33" i="18"/>
  <c r="CA16" i="18"/>
  <c r="CA26" i="18"/>
  <c r="BY14" i="18"/>
  <c r="BZ7" i="18"/>
  <c r="BZ17" i="18"/>
  <c r="BZ27" i="18"/>
  <c r="BZ37" i="18"/>
  <c r="BY15" i="18"/>
  <c r="CA7" i="18"/>
  <c r="CA17" i="18"/>
  <c r="CA27" i="18"/>
  <c r="CA37" i="18"/>
  <c r="BY16" i="18"/>
  <c r="BZ8" i="18"/>
  <c r="BZ18" i="18"/>
  <c r="BZ28" i="18"/>
  <c r="BY17" i="18"/>
  <c r="CA8" i="18"/>
  <c r="CA18" i="18"/>
  <c r="CA28" i="18"/>
  <c r="BY22" i="18"/>
  <c r="BZ11" i="18"/>
  <c r="BZ21" i="18"/>
  <c r="CA11" i="18"/>
  <c r="CA21" i="18"/>
  <c r="DM67" i="18"/>
  <c r="DM69" i="18"/>
  <c r="DM68" i="18"/>
  <c r="DM39" i="18"/>
  <c r="DM40" i="18"/>
  <c r="DM54" i="18"/>
  <c r="DM59" i="18"/>
  <c r="DM41" i="18"/>
  <c r="DM60" i="18"/>
  <c r="DM47" i="18"/>
  <c r="DM48" i="18"/>
  <c r="DM53" i="18"/>
  <c r="DM61" i="18"/>
  <c r="DM46" i="18"/>
  <c r="DM66" i="18"/>
  <c r="DL47" i="18"/>
  <c r="DL60" i="18"/>
  <c r="DL54" i="18"/>
  <c r="DL46" i="18"/>
  <c r="DL61" i="18"/>
  <c r="DL55" i="18"/>
  <c r="DL48" i="18"/>
  <c r="DL53" i="18"/>
  <c r="DK21" i="18"/>
  <c r="DK35" i="18"/>
  <c r="DK26" i="18"/>
  <c r="DK28" i="18"/>
  <c r="DK33" i="18"/>
  <c r="DK27" i="18"/>
  <c r="DK34" i="18"/>
  <c r="DL62" i="18"/>
  <c r="DM49" i="18"/>
  <c r="DK23" i="18"/>
  <c r="DK22" i="18"/>
  <c r="DM55" i="18"/>
  <c r="DM42" i="18"/>
  <c r="DM62" i="18"/>
  <c r="DL56" i="18"/>
  <c r="DL43" i="18"/>
  <c r="DM56" i="18"/>
  <c r="DL63" i="18"/>
  <c r="DK30" i="18"/>
  <c r="DM43" i="18"/>
  <c r="DL50" i="18"/>
  <c r="DM63" i="18"/>
  <c r="DM50" i="18"/>
  <c r="DL57" i="18"/>
  <c r="DK24" i="18"/>
  <c r="DL44" i="18"/>
  <c r="DM57" i="18"/>
  <c r="DL64" i="18"/>
  <c r="DK29" i="18"/>
  <c r="DL49" i="18"/>
  <c r="DK31" i="18"/>
  <c r="DM44" i="18"/>
  <c r="DL51" i="18"/>
  <c r="DM64" i="18"/>
  <c r="DL58" i="18"/>
  <c r="DL45" i="18"/>
  <c r="DL65" i="18"/>
  <c r="DK32" i="18"/>
  <c r="DM45" i="18"/>
  <c r="DL52" i="18"/>
  <c r="DM65" i="18"/>
  <c r="DM51" i="18"/>
  <c r="DM58" i="18"/>
  <c r="CG18" i="18"/>
  <c r="CG20" i="18"/>
  <c r="CG23" i="18"/>
  <c r="CM8" i="18"/>
  <c r="CM17" i="18"/>
  <c r="CG19" i="18"/>
  <c r="CM7" i="18"/>
  <c r="CM18" i="18"/>
  <c r="CM27" i="18"/>
  <c r="CM9" i="18"/>
  <c r="CM42" i="18"/>
  <c r="CM31" i="18"/>
  <c r="CL19" i="18"/>
  <c r="CM29" i="18"/>
  <c r="CL20" i="18"/>
  <c r="CM30" i="18"/>
  <c r="CL11" i="18"/>
  <c r="CM11" i="18"/>
  <c r="CL32" i="18"/>
  <c r="CM32" i="18"/>
  <c r="CL33" i="18"/>
  <c r="CM13" i="18"/>
  <c r="CM23" i="18"/>
  <c r="CM33" i="18"/>
  <c r="CL8" i="18"/>
  <c r="CL9" i="18"/>
  <c r="CM41" i="18"/>
  <c r="CL30" i="18"/>
  <c r="CM20" i="18"/>
  <c r="CL21" i="18"/>
  <c r="CM21" i="18"/>
  <c r="CL12" i="18"/>
  <c r="CL22" i="18"/>
  <c r="CM12" i="18"/>
  <c r="CM22" i="18"/>
  <c r="CL13" i="18"/>
  <c r="CL23" i="18"/>
  <c r="CL14" i="18"/>
  <c r="CL24" i="18"/>
  <c r="CL34" i="18"/>
  <c r="CL28" i="18"/>
  <c r="CM14" i="18"/>
  <c r="CM24" i="18"/>
  <c r="CL15" i="18"/>
  <c r="CL25" i="18"/>
  <c r="CM35" i="18"/>
  <c r="CL16" i="18"/>
  <c r="CL26" i="18"/>
  <c r="CL36" i="18"/>
  <c r="CL18" i="18"/>
  <c r="CL29" i="18"/>
  <c r="CM19" i="18"/>
  <c r="CL10" i="18"/>
  <c r="CM10" i="18"/>
  <c r="CL31" i="18"/>
  <c r="CM34" i="18"/>
  <c r="CL35" i="18"/>
  <c r="CM15" i="18"/>
  <c r="CM25" i="18"/>
  <c r="CM16" i="18"/>
  <c r="CM26" i="18"/>
  <c r="CL7" i="18"/>
  <c r="CL17" i="18"/>
  <c r="CL27" i="18"/>
  <c r="CG12" i="18"/>
  <c r="CG24" i="18"/>
  <c r="CG32" i="18"/>
  <c r="CG38" i="18"/>
  <c r="CG39" i="18"/>
  <c r="DC19" i="18"/>
  <c r="DC13" i="18"/>
  <c r="DB61" i="18"/>
  <c r="CS27" i="18"/>
  <c r="DB55" i="18"/>
  <c r="DB56" i="18"/>
  <c r="DB60" i="18"/>
  <c r="CF10" i="18"/>
  <c r="DA34" i="18"/>
  <c r="DA35" i="18"/>
  <c r="CF11" i="18"/>
  <c r="CF15" i="18"/>
  <c r="DA38" i="18"/>
  <c r="CF16" i="18"/>
  <c r="DA33" i="18"/>
  <c r="DC7" i="18"/>
  <c r="CF30" i="18"/>
  <c r="CG40" i="18"/>
  <c r="CF31" i="18"/>
  <c r="DB40" i="18"/>
  <c r="DC11" i="18"/>
  <c r="CF35" i="18"/>
  <c r="DA36" i="18"/>
  <c r="DC10" i="18"/>
  <c r="DB41" i="18"/>
  <c r="DC12" i="18"/>
  <c r="CF36" i="18"/>
  <c r="DB42" i="18"/>
  <c r="CF17" i="18"/>
  <c r="CF37" i="18"/>
  <c r="CG25" i="18"/>
  <c r="DB63" i="18"/>
  <c r="DC15" i="18"/>
  <c r="CG8" i="18"/>
  <c r="CS24" i="18"/>
  <c r="DB46" i="18"/>
  <c r="DC16" i="18"/>
  <c r="CF21" i="18"/>
  <c r="CG9" i="18"/>
  <c r="CG29" i="18"/>
  <c r="DB62" i="18"/>
  <c r="DB43" i="18"/>
  <c r="CF18" i="18"/>
  <c r="CG26" i="18"/>
  <c r="DB44" i="18"/>
  <c r="CG7" i="18"/>
  <c r="DB65" i="18"/>
  <c r="CG28" i="18"/>
  <c r="CS25" i="18"/>
  <c r="DB47" i="18"/>
  <c r="DC17" i="18"/>
  <c r="CF22" i="18"/>
  <c r="CG10" i="18"/>
  <c r="CG30" i="18"/>
  <c r="DB64" i="18"/>
  <c r="DC14" i="18"/>
  <c r="CF19" i="18"/>
  <c r="CG27" i="18"/>
  <c r="DB45" i="18"/>
  <c r="CF20" i="18"/>
  <c r="DB48" i="18"/>
  <c r="DC18" i="18"/>
  <c r="CF23" i="18"/>
  <c r="CG11" i="18"/>
  <c r="CG31" i="18"/>
  <c r="DB49" i="18"/>
  <c r="CG13" i="18"/>
  <c r="DB51" i="18"/>
  <c r="CG34" i="18"/>
  <c r="CR21" i="18"/>
  <c r="DB52" i="18"/>
  <c r="CF7" i="18"/>
  <c r="CF27" i="18"/>
  <c r="CG15" i="18"/>
  <c r="CG35" i="18"/>
  <c r="CR19" i="18"/>
  <c r="DB50" i="18"/>
  <c r="CF25" i="18"/>
  <c r="CR20" i="18"/>
  <c r="CG14" i="18"/>
  <c r="CR22" i="18"/>
  <c r="DB53" i="18"/>
  <c r="CF8" i="18"/>
  <c r="CF28" i="18"/>
  <c r="CG16" i="18"/>
  <c r="CG36" i="18"/>
  <c r="CF24" i="18"/>
  <c r="DC20" i="18"/>
  <c r="CG33" i="18"/>
  <c r="CF26" i="18"/>
  <c r="DA32" i="18"/>
  <c r="DB54" i="18"/>
  <c r="CF9" i="18"/>
  <c r="CF29" i="18"/>
  <c r="CG17" i="18"/>
  <c r="CG37" i="18"/>
  <c r="DB57" i="18"/>
  <c r="CF12" i="18"/>
  <c r="CF32" i="18"/>
  <c r="DB58" i="18"/>
  <c r="DC8" i="18"/>
  <c r="CF13" i="18"/>
  <c r="CF33" i="18"/>
  <c r="CG21" i="18"/>
  <c r="CG41" i="18"/>
  <c r="DB39" i="18"/>
  <c r="DC9" i="18"/>
  <c r="CF14" i="18"/>
  <c r="CG22" i="18"/>
  <c r="DA30" i="18"/>
  <c r="DA31" i="18"/>
  <c r="DA37" i="18"/>
  <c r="DA22" i="18"/>
  <c r="DA21" i="18"/>
  <c r="DA23" i="18"/>
  <c r="DA24" i="18"/>
  <c r="DA25" i="18"/>
  <c r="DA27" i="18"/>
  <c r="DA28" i="18"/>
  <c r="DA26" i="18"/>
  <c r="AE46" i="18" l="1"/>
  <c r="AG37" i="18" s="1"/>
  <c r="Y46" i="18"/>
  <c r="AA30" i="18" s="1"/>
  <c r="AF46" i="18"/>
  <c r="AH25" i="18" s="1"/>
  <c r="AH6" i="18"/>
  <c r="AG6" i="18"/>
  <c r="Z46" i="18"/>
  <c r="AB34" i="18" s="1"/>
  <c r="AB6" i="18"/>
  <c r="AA6" i="18"/>
  <c r="BA23" i="18"/>
  <c r="BC19" i="18" s="1"/>
  <c r="AZ23" i="18"/>
  <c r="BB7" i="18" s="1"/>
  <c r="AY8" i="18"/>
  <c r="AY9" i="18" s="1"/>
  <c r="AY10" i="18" s="1"/>
  <c r="AY11" i="18" s="1"/>
  <c r="AY12" i="18" s="1"/>
  <c r="AY13" i="18" s="1"/>
  <c r="AY14" i="18" s="1"/>
  <c r="AY15" i="18" s="1"/>
  <c r="AY16" i="18" s="1"/>
  <c r="AY17" i="18" s="1"/>
  <c r="AY18" i="18" s="1"/>
  <c r="AY19" i="18" s="1"/>
  <c r="BC6" i="18"/>
  <c r="BB6" i="18"/>
  <c r="AT23" i="18"/>
  <c r="AV8" i="18" s="1"/>
  <c r="AS23" i="18"/>
  <c r="AU11" i="18" s="1"/>
  <c r="AM23" i="18"/>
  <c r="AO12" i="18" s="1"/>
  <c r="AL23" i="18"/>
  <c r="AN12" i="18" s="1"/>
  <c r="AV6" i="18"/>
  <c r="AU6" i="18"/>
  <c r="AO6" i="18"/>
  <c r="AN6" i="18"/>
  <c r="V6" i="18"/>
  <c r="U6" i="18"/>
  <c r="AR8" i="18"/>
  <c r="AR9" i="18" s="1"/>
  <c r="AR10" i="18" s="1"/>
  <c r="AR11" i="18" s="1"/>
  <c r="AR12" i="18" s="1"/>
  <c r="AR13" i="18" s="1"/>
  <c r="AR14" i="18" s="1"/>
  <c r="AR15" i="18" s="1"/>
  <c r="AR16" i="18" s="1"/>
  <c r="AR17" i="18" s="1"/>
  <c r="AR18" i="18" s="1"/>
  <c r="AR19" i="18" s="1"/>
  <c r="AR20" i="18" s="1"/>
  <c r="AR21" i="18" s="1"/>
  <c r="AK8" i="18"/>
  <c r="AK9" i="18" s="1"/>
  <c r="AK10" i="18" s="1"/>
  <c r="AK11" i="18" s="1"/>
  <c r="AK12" i="18" s="1"/>
  <c r="AK13" i="18" s="1"/>
  <c r="AK14" i="18" s="1"/>
  <c r="AK15" i="18" s="1"/>
  <c r="AK16" i="18" s="1"/>
  <c r="AK17" i="18" s="1"/>
  <c r="AK18" i="18" s="1"/>
  <c r="AK19" i="18" s="1"/>
  <c r="AK20" i="18" s="1"/>
  <c r="AK21" i="18" s="1"/>
  <c r="T46" i="18"/>
  <c r="V32" i="18" s="1"/>
  <c r="S46" i="18"/>
  <c r="U21" i="18" s="1"/>
  <c r="B2" i="13"/>
  <c r="B3" i="13"/>
  <c r="I43" i="22"/>
  <c r="H43" i="22"/>
  <c r="G43" i="22"/>
  <c r="F43" i="22"/>
  <c r="B43" i="22"/>
  <c r="I42" i="22"/>
  <c r="H42" i="22"/>
  <c r="G42" i="22"/>
  <c r="F42" i="22"/>
  <c r="E42" i="22"/>
  <c r="D42" i="22"/>
  <c r="B42" i="22"/>
  <c r="I41" i="22"/>
  <c r="H41" i="22"/>
  <c r="G41" i="22"/>
  <c r="F41" i="22"/>
  <c r="E41" i="22"/>
  <c r="D41" i="22"/>
  <c r="B41" i="22"/>
  <c r="I40" i="22"/>
  <c r="H40" i="22"/>
  <c r="G40" i="22"/>
  <c r="F40" i="22"/>
  <c r="E40" i="22"/>
  <c r="D40" i="22"/>
  <c r="B40" i="22"/>
  <c r="I39" i="22"/>
  <c r="H39" i="22"/>
  <c r="G39" i="22"/>
  <c r="F39" i="22"/>
  <c r="E39" i="22"/>
  <c r="D39" i="22"/>
  <c r="B39" i="22"/>
  <c r="I38" i="22"/>
  <c r="H38" i="22"/>
  <c r="G38" i="22"/>
  <c r="F38" i="22"/>
  <c r="E38" i="22"/>
  <c r="D38" i="22"/>
  <c r="B38" i="22"/>
  <c r="I37" i="22"/>
  <c r="H37" i="22"/>
  <c r="G37" i="22"/>
  <c r="F37" i="22"/>
  <c r="E37" i="22"/>
  <c r="D37" i="22"/>
  <c r="B37" i="22"/>
  <c r="I36" i="22"/>
  <c r="H36" i="22"/>
  <c r="G36" i="22"/>
  <c r="F36" i="22"/>
  <c r="E36" i="22"/>
  <c r="D36" i="22"/>
  <c r="B36" i="22"/>
  <c r="I35" i="22"/>
  <c r="H35" i="22"/>
  <c r="G35" i="22"/>
  <c r="F35" i="22"/>
  <c r="E35" i="22"/>
  <c r="D35" i="22"/>
  <c r="B35" i="22"/>
  <c r="I34" i="22"/>
  <c r="H34" i="22"/>
  <c r="G34" i="22"/>
  <c r="F34" i="22"/>
  <c r="E34" i="22"/>
  <c r="D34" i="22"/>
  <c r="B34" i="22"/>
  <c r="I33" i="22"/>
  <c r="H33" i="22"/>
  <c r="G33" i="22"/>
  <c r="F33" i="22"/>
  <c r="E33" i="22"/>
  <c r="D33" i="22"/>
  <c r="B33" i="22"/>
  <c r="I32" i="22"/>
  <c r="H32" i="22"/>
  <c r="G32" i="22"/>
  <c r="F32" i="22"/>
  <c r="E32" i="22"/>
  <c r="D32" i="22"/>
  <c r="B32" i="22"/>
  <c r="I31" i="22"/>
  <c r="H31" i="22"/>
  <c r="G31" i="22"/>
  <c r="F31" i="22"/>
  <c r="E31" i="22"/>
  <c r="D31" i="22"/>
  <c r="B31" i="22"/>
  <c r="H30" i="22"/>
  <c r="G30" i="22"/>
  <c r="E30" i="22"/>
  <c r="D30" i="22"/>
  <c r="B30" i="22"/>
  <c r="H29" i="22"/>
  <c r="G29" i="22"/>
  <c r="E29" i="22"/>
  <c r="D29" i="22"/>
  <c r="B29" i="22"/>
  <c r="H28" i="22"/>
  <c r="G28" i="22"/>
  <c r="C28" i="22"/>
  <c r="B28" i="22"/>
  <c r="H27" i="22"/>
  <c r="G27" i="22"/>
  <c r="C27" i="22"/>
  <c r="B27" i="22"/>
  <c r="H26" i="22"/>
  <c r="G26" i="22"/>
  <c r="C26" i="22"/>
  <c r="B26" i="22"/>
  <c r="H25" i="22"/>
  <c r="G25" i="22"/>
  <c r="C25" i="22"/>
  <c r="B25" i="22"/>
  <c r="H24" i="22"/>
  <c r="G24" i="22"/>
  <c r="C24" i="22"/>
  <c r="B24" i="22"/>
  <c r="H23" i="22"/>
  <c r="G23" i="22"/>
  <c r="C23" i="22"/>
  <c r="B23" i="22"/>
  <c r="H22" i="22"/>
  <c r="G22" i="22"/>
  <c r="C22" i="22"/>
  <c r="B22" i="22"/>
  <c r="H21" i="22"/>
  <c r="G21" i="22"/>
  <c r="C21" i="22"/>
  <c r="B21" i="22"/>
  <c r="H20" i="22"/>
  <c r="G20" i="22"/>
  <c r="C20" i="22"/>
  <c r="B20" i="22"/>
  <c r="H19" i="22"/>
  <c r="G19" i="22"/>
  <c r="C19" i="22"/>
  <c r="B19" i="22"/>
  <c r="H18" i="22"/>
  <c r="G18" i="22"/>
  <c r="C18" i="22"/>
  <c r="B18" i="22"/>
  <c r="H17" i="22"/>
  <c r="G17" i="22"/>
  <c r="C17" i="22"/>
  <c r="B17" i="22"/>
  <c r="H16" i="22"/>
  <c r="G16" i="22"/>
  <c r="C16" i="22"/>
  <c r="B16" i="22"/>
  <c r="H15" i="22"/>
  <c r="G15" i="22"/>
  <c r="C15" i="22"/>
  <c r="B15" i="22"/>
  <c r="H14" i="22"/>
  <c r="G14" i="22"/>
  <c r="C14" i="22"/>
  <c r="B14" i="22"/>
  <c r="H13" i="22"/>
  <c r="G13" i="22"/>
  <c r="C13" i="22"/>
  <c r="B13" i="22"/>
  <c r="H12" i="22"/>
  <c r="G12" i="22"/>
  <c r="C12" i="22"/>
  <c r="B12" i="22"/>
  <c r="H11" i="22"/>
  <c r="G11" i="22"/>
  <c r="C11" i="22"/>
  <c r="B11" i="22"/>
  <c r="H10" i="22"/>
  <c r="G10" i="22"/>
  <c r="C10" i="22"/>
  <c r="B10" i="22"/>
  <c r="H9" i="22"/>
  <c r="G9" i="22"/>
  <c r="B9" i="22"/>
  <c r="H8" i="22"/>
  <c r="G8" i="22"/>
  <c r="B8" i="22"/>
  <c r="H7" i="22"/>
  <c r="G7" i="22"/>
  <c r="B7" i="22"/>
  <c r="B6" i="22"/>
  <c r="A43" i="22"/>
  <c r="N43" i="22" s="1"/>
  <c r="A42" i="22"/>
  <c r="N42" i="22" s="1"/>
  <c r="A41" i="22"/>
  <c r="N41" i="22" s="1"/>
  <c r="A40" i="22"/>
  <c r="N40" i="22" s="1"/>
  <c r="A39" i="22"/>
  <c r="N39" i="22" s="1"/>
  <c r="A38" i="22"/>
  <c r="N38" i="22" s="1"/>
  <c r="A37" i="22"/>
  <c r="N37" i="22" s="1"/>
  <c r="A36" i="22"/>
  <c r="N36" i="22" s="1"/>
  <c r="A35" i="22"/>
  <c r="N35" i="22" s="1"/>
  <c r="A34" i="22"/>
  <c r="N34" i="22" s="1"/>
  <c r="A33" i="22"/>
  <c r="N33" i="22" s="1"/>
  <c r="A32" i="22"/>
  <c r="N32" i="22" s="1"/>
  <c r="A31" i="22"/>
  <c r="N31" i="22" s="1"/>
  <c r="A30" i="22"/>
  <c r="N30" i="22" s="1"/>
  <c r="A29" i="22"/>
  <c r="N29" i="22" s="1"/>
  <c r="A28" i="22"/>
  <c r="N28" i="22" s="1"/>
  <c r="A27" i="22"/>
  <c r="N27" i="22" s="1"/>
  <c r="A26" i="22"/>
  <c r="N26" i="22" s="1"/>
  <c r="A25" i="22"/>
  <c r="N25" i="22" s="1"/>
  <c r="A24" i="22"/>
  <c r="N24" i="22" s="1"/>
  <c r="A23" i="22"/>
  <c r="N23" i="22" s="1"/>
  <c r="A22" i="22"/>
  <c r="N22" i="22" s="1"/>
  <c r="A21" i="22"/>
  <c r="N21" i="22" s="1"/>
  <c r="A20" i="22"/>
  <c r="N20" i="22" s="1"/>
  <c r="A19" i="22"/>
  <c r="N19" i="22" s="1"/>
  <c r="A18" i="22"/>
  <c r="N18" i="22" s="1"/>
  <c r="A17" i="22"/>
  <c r="N17" i="22" s="1"/>
  <c r="A16" i="22"/>
  <c r="N16" i="22" s="1"/>
  <c r="A15" i="22"/>
  <c r="N15" i="22" s="1"/>
  <c r="A14" i="22"/>
  <c r="N14" i="22" s="1"/>
  <c r="A13" i="22"/>
  <c r="N13" i="22" s="1"/>
  <c r="A12" i="22"/>
  <c r="N12" i="22" s="1"/>
  <c r="A11" i="22"/>
  <c r="N11" i="22" s="1"/>
  <c r="A10" i="22"/>
  <c r="N10" i="22" s="1"/>
  <c r="A9" i="22"/>
  <c r="N9" i="22" s="1"/>
  <c r="A8" i="22"/>
  <c r="N8" i="22" s="1"/>
  <c r="A7" i="22"/>
  <c r="N7" i="22" s="1"/>
  <c r="A6" i="22"/>
  <c r="N6" i="22" s="1"/>
  <c r="V5" i="22"/>
  <c r="H5" i="22"/>
  <c r="U5" i="22" s="1"/>
  <c r="G5" i="22"/>
  <c r="T5" i="22" s="1"/>
  <c r="F5" i="22"/>
  <c r="S5" i="22" s="1"/>
  <c r="E5" i="22"/>
  <c r="R5" i="22" s="1"/>
  <c r="D5" i="22"/>
  <c r="Q5" i="22" s="1"/>
  <c r="C5" i="22"/>
  <c r="P5" i="22" s="1"/>
  <c r="B5" i="22"/>
  <c r="O5" i="22" s="1"/>
  <c r="M5" i="13"/>
  <c r="L5" i="13"/>
  <c r="K5" i="13"/>
  <c r="J5" i="13"/>
  <c r="I5" i="13"/>
  <c r="W5" i="13" s="1"/>
  <c r="F5" i="13"/>
  <c r="E5" i="13"/>
  <c r="D5" i="13"/>
  <c r="C5" i="13"/>
  <c r="Q5" i="13" s="1"/>
  <c r="B5" i="13"/>
  <c r="P5" i="13" s="1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I68" i="13"/>
  <c r="E68" i="13"/>
  <c r="D68" i="13"/>
  <c r="I67" i="13"/>
  <c r="E67" i="13"/>
  <c r="D67" i="13"/>
  <c r="I66" i="13"/>
  <c r="E66" i="13"/>
  <c r="D66" i="13"/>
  <c r="I65" i="13"/>
  <c r="E65" i="13"/>
  <c r="D65" i="13"/>
  <c r="I64" i="13"/>
  <c r="E64" i="13"/>
  <c r="D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A12" i="13"/>
  <c r="A11" i="13"/>
  <c r="O11" i="13" s="1"/>
  <c r="A10" i="13"/>
  <c r="O10" i="13" s="1"/>
  <c r="A9" i="13"/>
  <c r="O9" i="13" s="1"/>
  <c r="A8" i="13"/>
  <c r="O8" i="13" s="1"/>
  <c r="A7" i="13"/>
  <c r="O7" i="13" s="1"/>
  <c r="A6" i="13"/>
  <c r="O6" i="13" s="1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P3" i="19"/>
  <c r="I4" i="22" s="1"/>
  <c r="N3" i="19"/>
  <c r="H4" i="22" s="1"/>
  <c r="L3" i="19"/>
  <c r="G4" i="22" s="1"/>
  <c r="J3" i="19"/>
  <c r="F4" i="22" s="1"/>
  <c r="H3" i="19"/>
  <c r="E4" i="22" s="1"/>
  <c r="F3" i="19"/>
  <c r="D4" i="22" s="1"/>
  <c r="D3" i="19"/>
  <c r="C4" i="22" s="1"/>
  <c r="B3" i="19"/>
  <c r="B4" i="22" s="1"/>
  <c r="Z39" i="20"/>
  <c r="Y39" i="20"/>
  <c r="Z38" i="20"/>
  <c r="Y38" i="20"/>
  <c r="Z37" i="20"/>
  <c r="Y37" i="20"/>
  <c r="Z36" i="20"/>
  <c r="Y36" i="20"/>
  <c r="Z35" i="20"/>
  <c r="Y35" i="20"/>
  <c r="Z34" i="20"/>
  <c r="Y34" i="20"/>
  <c r="Z33" i="20"/>
  <c r="Y33" i="20"/>
  <c r="Z32" i="20"/>
  <c r="Y32" i="20"/>
  <c r="Z31" i="20"/>
  <c r="Y31" i="20"/>
  <c r="Z30" i="20"/>
  <c r="Y30" i="20"/>
  <c r="Z29" i="20"/>
  <c r="Y29" i="20"/>
  <c r="Z28" i="20"/>
  <c r="Y28" i="20"/>
  <c r="Z27" i="20"/>
  <c r="Y27" i="20"/>
  <c r="Z26" i="20"/>
  <c r="Y26" i="20"/>
  <c r="Z21" i="20"/>
  <c r="Z20" i="20"/>
  <c r="Z19" i="20"/>
  <c r="Z18" i="20"/>
  <c r="Z17" i="20"/>
  <c r="Z16" i="20"/>
  <c r="Z15" i="20"/>
  <c r="Z14" i="20"/>
  <c r="Z13" i="20"/>
  <c r="Z12" i="20"/>
  <c r="Z11" i="20"/>
  <c r="Z10" i="20"/>
  <c r="Z9" i="20"/>
  <c r="Z8" i="20"/>
  <c r="O40" i="22" l="1"/>
  <c r="B3" i="22"/>
  <c r="G2" i="22"/>
  <c r="T16" i="22" s="1"/>
  <c r="H2" i="22"/>
  <c r="U7" i="22" s="1"/>
  <c r="B2" i="22"/>
  <c r="O8" i="22" s="1"/>
  <c r="G3" i="22"/>
  <c r="E3" i="22"/>
  <c r="C2" i="22"/>
  <c r="P27" i="22" s="1"/>
  <c r="T27" i="22"/>
  <c r="T38" i="22"/>
  <c r="O34" i="22"/>
  <c r="T41" i="22"/>
  <c r="O36" i="22"/>
  <c r="T36" i="22"/>
  <c r="F2" i="22"/>
  <c r="S42" i="22" s="1"/>
  <c r="E2" i="22"/>
  <c r="R38" i="22" s="1"/>
  <c r="C3" i="22"/>
  <c r="I3" i="22"/>
  <c r="H3" i="22"/>
  <c r="I3" i="13"/>
  <c r="C2" i="13"/>
  <c r="Q55" i="13" s="1"/>
  <c r="I2" i="13"/>
  <c r="W64" i="13" s="1"/>
  <c r="C3" i="13"/>
  <c r="F2" i="13"/>
  <c r="P38" i="13"/>
  <c r="P57" i="13"/>
  <c r="P55" i="13"/>
  <c r="P53" i="13"/>
  <c r="P58" i="13"/>
  <c r="P56" i="13"/>
  <c r="P54" i="13"/>
  <c r="P52" i="13"/>
  <c r="P50" i="13"/>
  <c r="P49" i="13"/>
  <c r="P51" i="13"/>
  <c r="P59" i="13"/>
  <c r="P68" i="13"/>
  <c r="P60" i="13"/>
  <c r="P42" i="13"/>
  <c r="P67" i="13"/>
  <c r="P65" i="13"/>
  <c r="P61" i="13"/>
  <c r="P63" i="13"/>
  <c r="P39" i="13"/>
  <c r="P62" i="13"/>
  <c r="P64" i="13"/>
  <c r="P46" i="13"/>
  <c r="P47" i="13"/>
  <c r="P40" i="13"/>
  <c r="P43" i="13"/>
  <c r="P44" i="13"/>
  <c r="P45" i="13"/>
  <c r="P66" i="13"/>
  <c r="P41" i="13"/>
  <c r="P48" i="13"/>
  <c r="F3" i="13"/>
  <c r="F3" i="22"/>
  <c r="I2" i="22"/>
  <c r="D3" i="22"/>
  <c r="D2" i="22"/>
  <c r="AG25" i="18"/>
  <c r="AA23" i="18"/>
  <c r="AH30" i="18"/>
  <c r="AH31" i="18"/>
  <c r="AG10" i="18"/>
  <c r="AG11" i="18"/>
  <c r="AG13" i="18"/>
  <c r="AG31" i="18"/>
  <c r="AG34" i="18"/>
  <c r="AG15" i="18"/>
  <c r="AG16" i="18"/>
  <c r="AA15" i="18"/>
  <c r="AG18" i="18"/>
  <c r="AA21" i="18"/>
  <c r="AG19" i="18"/>
  <c r="AA22" i="18"/>
  <c r="AG20" i="18"/>
  <c r="AA29" i="18"/>
  <c r="AB35" i="18"/>
  <c r="AG36" i="18"/>
  <c r="AA38" i="18"/>
  <c r="AB22" i="18"/>
  <c r="AB43" i="18"/>
  <c r="AA36" i="18"/>
  <c r="AA37" i="18"/>
  <c r="AH27" i="18"/>
  <c r="AH29" i="18"/>
  <c r="AB21" i="18"/>
  <c r="AH28" i="18"/>
  <c r="AB23" i="18"/>
  <c r="AH32" i="18"/>
  <c r="AA24" i="18"/>
  <c r="AH8" i="18"/>
  <c r="AH33" i="18"/>
  <c r="AG29" i="18"/>
  <c r="AB44" i="18"/>
  <c r="AA9" i="18"/>
  <c r="AA25" i="18"/>
  <c r="AH9" i="18"/>
  <c r="AH34" i="18"/>
  <c r="AG30" i="18"/>
  <c r="AA11" i="18"/>
  <c r="AA26" i="18"/>
  <c r="AH10" i="18"/>
  <c r="AH35" i="18"/>
  <c r="AB11" i="18"/>
  <c r="AA27" i="18"/>
  <c r="AH11" i="18"/>
  <c r="AH36" i="18"/>
  <c r="AG32" i="18"/>
  <c r="AA12" i="18"/>
  <c r="AA28" i="18"/>
  <c r="AH12" i="18"/>
  <c r="AH37" i="18"/>
  <c r="AG33" i="18"/>
  <c r="AB12" i="18"/>
  <c r="AH13" i="18"/>
  <c r="AH40" i="18"/>
  <c r="AA13" i="18"/>
  <c r="AA31" i="18"/>
  <c r="AH14" i="18"/>
  <c r="AH42" i="18"/>
  <c r="AG35" i="18"/>
  <c r="AB13" i="18"/>
  <c r="AB31" i="18"/>
  <c r="AH15" i="18"/>
  <c r="AH43" i="18"/>
  <c r="AA14" i="18"/>
  <c r="AA32" i="18"/>
  <c r="AH16" i="18"/>
  <c r="AG9" i="18"/>
  <c r="AG38" i="18"/>
  <c r="AH17" i="18"/>
  <c r="AA16" i="18"/>
  <c r="AA33" i="18"/>
  <c r="AH20" i="18"/>
  <c r="AA17" i="18"/>
  <c r="AB33" i="18"/>
  <c r="AH22" i="18"/>
  <c r="AG12" i="18"/>
  <c r="AB32" i="18"/>
  <c r="AA18" i="18"/>
  <c r="AA34" i="18"/>
  <c r="AH23" i="18"/>
  <c r="AA19" i="18"/>
  <c r="AA35" i="18"/>
  <c r="AH26" i="18"/>
  <c r="AG14" i="18"/>
  <c r="BC9" i="18"/>
  <c r="AB25" i="18"/>
  <c r="AB26" i="18"/>
  <c r="AB36" i="18"/>
  <c r="AO8" i="18"/>
  <c r="AH18" i="18"/>
  <c r="AH38" i="18"/>
  <c r="AG21" i="18"/>
  <c r="AO7" i="18"/>
  <c r="AN8" i="18"/>
  <c r="AB16" i="18"/>
  <c r="AO10" i="18"/>
  <c r="AB17" i="18"/>
  <c r="AB27" i="18"/>
  <c r="AB37" i="18"/>
  <c r="AH19" i="18"/>
  <c r="AH39" i="18"/>
  <c r="AG22" i="18"/>
  <c r="AB15" i="18"/>
  <c r="AO14" i="18"/>
  <c r="AG23" i="18"/>
  <c r="AO16" i="18"/>
  <c r="AB8" i="18"/>
  <c r="AB18" i="18"/>
  <c r="AB28" i="18"/>
  <c r="AB38" i="18"/>
  <c r="AH21" i="18"/>
  <c r="AH41" i="18"/>
  <c r="AG24" i="18"/>
  <c r="AB39" i="18"/>
  <c r="AB9" i="18"/>
  <c r="AG26" i="18"/>
  <c r="AU8" i="18"/>
  <c r="AA10" i="18"/>
  <c r="AA20" i="18"/>
  <c r="AB41" i="18"/>
  <c r="AH24" i="18"/>
  <c r="AH44" i="18"/>
  <c r="AG27" i="18"/>
  <c r="BC10" i="18"/>
  <c r="AO18" i="18"/>
  <c r="AO19" i="18"/>
  <c r="AB19" i="18"/>
  <c r="AB29" i="18"/>
  <c r="AB40" i="18"/>
  <c r="AU9" i="18"/>
  <c r="AB10" i="18"/>
  <c r="AB20" i="18"/>
  <c r="AB30" i="18"/>
  <c r="AB42" i="18"/>
  <c r="AG8" i="18"/>
  <c r="AG28" i="18"/>
  <c r="AB14" i="18"/>
  <c r="AB24" i="18"/>
  <c r="AG17" i="18"/>
  <c r="AN10" i="18"/>
  <c r="AU7" i="18"/>
  <c r="AU13" i="18"/>
  <c r="AV10" i="18"/>
  <c r="AV12" i="18"/>
  <c r="BC11" i="18"/>
  <c r="V27" i="18"/>
  <c r="BB12" i="18"/>
  <c r="U28" i="18"/>
  <c r="AN9" i="18"/>
  <c r="AV13" i="18"/>
  <c r="BC12" i="18"/>
  <c r="V28" i="18"/>
  <c r="AO9" i="18"/>
  <c r="AV14" i="18"/>
  <c r="BB13" i="18"/>
  <c r="V18" i="18"/>
  <c r="AO11" i="18"/>
  <c r="AV18" i="18"/>
  <c r="BC16" i="18"/>
  <c r="AV11" i="18"/>
  <c r="V37" i="18"/>
  <c r="AV15" i="18"/>
  <c r="BC13" i="18"/>
  <c r="U38" i="18"/>
  <c r="AV16" i="18"/>
  <c r="BC14" i="18"/>
  <c r="V38" i="18"/>
  <c r="AN11" i="18"/>
  <c r="AV17" i="18"/>
  <c r="BC15" i="18"/>
  <c r="AN13" i="18"/>
  <c r="AV19" i="18"/>
  <c r="BC17" i="18"/>
  <c r="AO13" i="18"/>
  <c r="AV20" i="18"/>
  <c r="BC18" i="18"/>
  <c r="AA8" i="18"/>
  <c r="BB8" i="18"/>
  <c r="BC8" i="18"/>
  <c r="AV9" i="18"/>
  <c r="BB9" i="18"/>
  <c r="AO20" i="18"/>
  <c r="AV7" i="18"/>
  <c r="U18" i="18"/>
  <c r="AN7" i="18"/>
  <c r="BC7" i="18"/>
  <c r="AU12" i="18"/>
  <c r="AN14" i="18"/>
  <c r="AN15" i="18"/>
  <c r="AO15" i="18"/>
  <c r="AU14" i="18"/>
  <c r="BB10" i="18"/>
  <c r="V17" i="18"/>
  <c r="AO17" i="18"/>
  <c r="AU15" i="18"/>
  <c r="BB11" i="18"/>
  <c r="AU10" i="18"/>
  <c r="U23" i="18"/>
  <c r="V33" i="18"/>
  <c r="U13" i="18"/>
  <c r="U24" i="18"/>
  <c r="U34" i="18"/>
  <c r="V13" i="18"/>
  <c r="V24" i="18"/>
  <c r="V34" i="18"/>
  <c r="U12" i="18"/>
  <c r="U14" i="18"/>
  <c r="U35" i="18"/>
  <c r="V14" i="18"/>
  <c r="V35" i="18"/>
  <c r="U25" i="18"/>
  <c r="V25" i="18"/>
  <c r="U15" i="18"/>
  <c r="U26" i="18"/>
  <c r="U36" i="18"/>
  <c r="V12" i="18"/>
  <c r="V15" i="18"/>
  <c r="V36" i="18"/>
  <c r="U33" i="18"/>
  <c r="V23" i="18"/>
  <c r="V26" i="18"/>
  <c r="V16" i="18"/>
  <c r="U27" i="18"/>
  <c r="U37" i="18"/>
  <c r="U29" i="18"/>
  <c r="U8" i="18"/>
  <c r="V29" i="18"/>
  <c r="V8" i="18"/>
  <c r="V41" i="18"/>
  <c r="V20" i="18"/>
  <c r="V43" i="18"/>
  <c r="V10" i="18"/>
  <c r="V21" i="18"/>
  <c r="V31" i="18"/>
  <c r="V44" i="18"/>
  <c r="V39" i="18"/>
  <c r="V19" i="18"/>
  <c r="U20" i="18"/>
  <c r="V42" i="18"/>
  <c r="U10" i="18"/>
  <c r="U31" i="18"/>
  <c r="U11" i="18"/>
  <c r="U22" i="18"/>
  <c r="U32" i="18"/>
  <c r="U19" i="18"/>
  <c r="V40" i="18"/>
  <c r="U30" i="18"/>
  <c r="V9" i="18"/>
  <c r="V30" i="18"/>
  <c r="V11" i="18"/>
  <c r="V22" i="18"/>
  <c r="O13" i="22" l="1"/>
  <c r="O26" i="22"/>
  <c r="O29" i="22"/>
  <c r="O21" i="22"/>
  <c r="O24" i="22"/>
  <c r="O16" i="22"/>
  <c r="O11" i="22"/>
  <c r="O19" i="22"/>
  <c r="O42" i="22"/>
  <c r="O33" i="22"/>
  <c r="O12" i="22"/>
  <c r="O27" i="22"/>
  <c r="O25" i="22"/>
  <c r="O20" i="22"/>
  <c r="O6" i="22"/>
  <c r="O15" i="22"/>
  <c r="O18" i="22"/>
  <c r="O22" i="22"/>
  <c r="O32" i="22"/>
  <c r="O23" i="22"/>
  <c r="O43" i="22"/>
  <c r="O28" i="22"/>
  <c r="O37" i="22"/>
  <c r="S31" i="22"/>
  <c r="O41" i="22"/>
  <c r="O17" i="22"/>
  <c r="U38" i="22"/>
  <c r="U31" i="22"/>
  <c r="U10" i="22"/>
  <c r="U27" i="22"/>
  <c r="T7" i="22"/>
  <c r="U14" i="22"/>
  <c r="T32" i="22"/>
  <c r="T35" i="22"/>
  <c r="U15" i="22"/>
  <c r="T18" i="22"/>
  <c r="T37" i="22"/>
  <c r="U32" i="22"/>
  <c r="U20" i="22"/>
  <c r="U34" i="22"/>
  <c r="T34" i="22"/>
  <c r="T24" i="22"/>
  <c r="U25" i="22"/>
  <c r="T26" i="22"/>
  <c r="T40" i="22"/>
  <c r="U29" i="22"/>
  <c r="T31" i="22"/>
  <c r="T20" i="22"/>
  <c r="T14" i="22"/>
  <c r="U23" i="22"/>
  <c r="T11" i="22"/>
  <c r="U19" i="22"/>
  <c r="U12" i="22"/>
  <c r="T42" i="22"/>
  <c r="U24" i="22"/>
  <c r="T30" i="22"/>
  <c r="U39" i="22"/>
  <c r="U33" i="22"/>
  <c r="T33" i="22"/>
  <c r="T21" i="22"/>
  <c r="T25" i="22"/>
  <c r="U26" i="22"/>
  <c r="U17" i="22"/>
  <c r="U9" i="22"/>
  <c r="U18" i="22"/>
  <c r="U8" i="22"/>
  <c r="U16" i="22"/>
  <c r="U30" i="22"/>
  <c r="U28" i="22"/>
  <c r="T8" i="22"/>
  <c r="O39" i="22"/>
  <c r="U11" i="22"/>
  <c r="U37" i="22"/>
  <c r="T10" i="22"/>
  <c r="U13" i="22"/>
  <c r="U41" i="22"/>
  <c r="U42" i="22"/>
  <c r="O7" i="22"/>
  <c r="O14" i="22"/>
  <c r="T28" i="22"/>
  <c r="U21" i="22"/>
  <c r="O10" i="22"/>
  <c r="O38" i="22"/>
  <c r="O9" i="22"/>
  <c r="T9" i="22"/>
  <c r="P26" i="22"/>
  <c r="T23" i="22"/>
  <c r="O31" i="22"/>
  <c r="P16" i="22"/>
  <c r="U43" i="22"/>
  <c r="U40" i="22"/>
  <c r="T17" i="22"/>
  <c r="O35" i="22"/>
  <c r="T39" i="22"/>
  <c r="T29" i="22"/>
  <c r="U35" i="22"/>
  <c r="U22" i="22"/>
  <c r="T19" i="22"/>
  <c r="T15" i="22"/>
  <c r="U36" i="22"/>
  <c r="P10" i="22"/>
  <c r="O30" i="22"/>
  <c r="T13" i="22"/>
  <c r="T12" i="22"/>
  <c r="P21" i="22"/>
  <c r="T43" i="22"/>
  <c r="T22" i="22"/>
  <c r="Q43" i="13"/>
  <c r="Q64" i="13"/>
  <c r="Q57" i="13"/>
  <c r="Q39" i="13"/>
  <c r="Q45" i="13"/>
  <c r="W51" i="13"/>
  <c r="Q65" i="13"/>
  <c r="Q61" i="13"/>
  <c r="Q68" i="13"/>
  <c r="Q56" i="13"/>
  <c r="Q63" i="13"/>
  <c r="Q44" i="13"/>
  <c r="Q60" i="13"/>
  <c r="Q59" i="13"/>
  <c r="W53" i="13"/>
  <c r="W63" i="13"/>
  <c r="Q42" i="13"/>
  <c r="W52" i="13"/>
  <c r="Q62" i="13"/>
  <c r="W48" i="13"/>
  <c r="W54" i="13"/>
  <c r="Q53" i="13"/>
  <c r="W62" i="13"/>
  <c r="W58" i="13"/>
  <c r="Q67" i="13"/>
  <c r="Q50" i="13"/>
  <c r="Q41" i="13"/>
  <c r="Q58" i="13"/>
  <c r="Q48" i="13"/>
  <c r="Q40" i="13"/>
  <c r="W57" i="13"/>
  <c r="Q52" i="13"/>
  <c r="Q38" i="13"/>
  <c r="W61" i="13"/>
  <c r="W65" i="13"/>
  <c r="Q51" i="13"/>
  <c r="Q47" i="13"/>
  <c r="W68" i="13"/>
  <c r="W60" i="13"/>
  <c r="W56" i="13"/>
  <c r="Q66" i="13"/>
  <c r="W66" i="13"/>
  <c r="Q46" i="13"/>
  <c r="W67" i="13"/>
  <c r="W59" i="13"/>
  <c r="W55" i="13"/>
  <c r="Q54" i="13"/>
  <c r="W50" i="13"/>
  <c r="Q49" i="13"/>
  <c r="T19" i="13"/>
  <c r="W49" i="13"/>
  <c r="P24" i="22"/>
  <c r="P20" i="22"/>
  <c r="P22" i="22"/>
  <c r="P13" i="22"/>
  <c r="P19" i="22"/>
  <c r="P25" i="22"/>
  <c r="P18" i="22"/>
  <c r="P14" i="22"/>
  <c r="P15" i="22"/>
  <c r="P23" i="22"/>
  <c r="P17" i="22"/>
  <c r="P12" i="22"/>
  <c r="P11" i="22"/>
  <c r="P28" i="22"/>
  <c r="S36" i="22"/>
  <c r="R31" i="22"/>
  <c r="S39" i="22"/>
  <c r="S43" i="22"/>
  <c r="R42" i="22"/>
  <c r="S34" i="22"/>
  <c r="R36" i="22"/>
  <c r="R32" i="22"/>
  <c r="S40" i="22"/>
  <c r="R39" i="22"/>
  <c r="R30" i="22"/>
  <c r="S37" i="22"/>
  <c r="S32" i="22"/>
  <c r="S38" i="22"/>
  <c r="R35" i="22"/>
  <c r="R37" i="22"/>
  <c r="S35" i="22"/>
  <c r="R34" i="22"/>
  <c r="R40" i="22"/>
  <c r="R29" i="22"/>
  <c r="R33" i="22"/>
  <c r="R41" i="22"/>
  <c r="S33" i="22"/>
  <c r="S41" i="22"/>
  <c r="T15" i="13"/>
  <c r="T18" i="13"/>
  <c r="T14" i="13"/>
  <c r="T6" i="13"/>
  <c r="T17" i="13"/>
  <c r="T11" i="13"/>
  <c r="T13" i="13"/>
  <c r="T12" i="13"/>
  <c r="T10" i="13"/>
  <c r="T16" i="13"/>
  <c r="T7" i="13"/>
  <c r="T9" i="13"/>
  <c r="T8" i="13"/>
  <c r="V32" i="22"/>
  <c r="V36" i="22"/>
  <c r="V31" i="22"/>
  <c r="V41" i="22"/>
  <c r="V33" i="22"/>
  <c r="V43" i="22"/>
  <c r="V34" i="22"/>
  <c r="V38" i="22"/>
  <c r="V37" i="22"/>
  <c r="V40" i="22"/>
  <c r="V42" i="22"/>
  <c r="V39" i="22"/>
  <c r="V35" i="22"/>
  <c r="Q41" i="22"/>
  <c r="Q29" i="22"/>
  <c r="Q38" i="22"/>
  <c r="Q35" i="22"/>
  <c r="Q42" i="22"/>
  <c r="Q39" i="22"/>
  <c r="Q33" i="22"/>
  <c r="Q40" i="22"/>
  <c r="Q31" i="22"/>
  <c r="Q37" i="22"/>
  <c r="Q30" i="22"/>
  <c r="Q32" i="22"/>
  <c r="Q34" i="22"/>
  <c r="Q36" i="22"/>
  <c r="P3" i="22" l="1"/>
  <c r="S3" i="22"/>
  <c r="W3" i="13"/>
  <c r="Q3" i="13"/>
  <c r="Q3" i="22"/>
  <c r="T3" i="22"/>
  <c r="R3" i="22"/>
  <c r="V3" i="22"/>
  <c r="U3" i="22"/>
  <c r="Y21" i="20" l="1"/>
  <c r="Y20" i="20"/>
  <c r="Y19" i="20"/>
  <c r="Y18" i="20"/>
  <c r="Y17" i="20"/>
  <c r="Y16" i="20"/>
  <c r="Y15" i="20"/>
  <c r="Y14" i="20"/>
  <c r="Y13" i="20"/>
  <c r="Y12" i="20"/>
  <c r="Y11" i="20"/>
  <c r="Y10" i="20"/>
  <c r="Y9" i="20"/>
  <c r="Y8" i="20"/>
  <c r="B3" i="17" l="1"/>
  <c r="B4" i="13" s="1"/>
  <c r="T3" i="17"/>
  <c r="R3" i="17"/>
  <c r="P3" i="17"/>
  <c r="I4" i="13" s="1"/>
  <c r="J4" i="13"/>
  <c r="H3" i="17"/>
  <c r="F3" i="17"/>
  <c r="D3" i="17"/>
  <c r="C4" i="13" s="1"/>
  <c r="J3" i="17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A19" i="17"/>
  <c r="A20" i="17" l="1"/>
  <c r="A13" i="13"/>
  <c r="V7" i="18"/>
  <c r="U7" i="18"/>
  <c r="A21" i="17" l="1"/>
  <c r="A14" i="13"/>
  <c r="CS22" i="18"/>
  <c r="CR13" i="18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S5" i="13"/>
  <c r="K56" i="13"/>
  <c r="K55" i="13"/>
  <c r="K54" i="13"/>
  <c r="K53" i="13"/>
  <c r="K52" i="13"/>
  <c r="K51" i="13"/>
  <c r="K50" i="13"/>
  <c r="K49" i="13"/>
  <c r="K48" i="13"/>
  <c r="K47" i="13"/>
  <c r="K46" i="13"/>
  <c r="K45" i="13"/>
  <c r="Y5" i="13"/>
  <c r="K3" i="13" l="1"/>
  <c r="K2" i="13"/>
  <c r="Y52" i="13" s="1"/>
  <c r="A22" i="17"/>
  <c r="A15" i="13"/>
  <c r="E2" i="13"/>
  <c r="S33" i="13" s="1"/>
  <c r="E3" i="13"/>
  <c r="CS10" i="18"/>
  <c r="CS13" i="18"/>
  <c r="CS15" i="18"/>
  <c r="CS16" i="18"/>
  <c r="CS17" i="18"/>
  <c r="CS7" i="18"/>
  <c r="CS18" i="18"/>
  <c r="CS8" i="18"/>
  <c r="CS21" i="18"/>
  <c r="CS9" i="18"/>
  <c r="CS23" i="18"/>
  <c r="CR7" i="18"/>
  <c r="CR15" i="18"/>
  <c r="CS11" i="18"/>
  <c r="CS19" i="18"/>
  <c r="CR8" i="18"/>
  <c r="CR16" i="18"/>
  <c r="CS12" i="18"/>
  <c r="CS20" i="18"/>
  <c r="CR9" i="18"/>
  <c r="CR17" i="18"/>
  <c r="CR14" i="18"/>
  <c r="CR10" i="18"/>
  <c r="CR18" i="18"/>
  <c r="CS14" i="18"/>
  <c r="CR11" i="18"/>
  <c r="CR12" i="18"/>
  <c r="A23" i="17" l="1"/>
  <c r="A16" i="13"/>
  <c r="S66" i="13"/>
  <c r="S65" i="13"/>
  <c r="S67" i="13"/>
  <c r="S68" i="13"/>
  <c r="S64" i="13"/>
  <c r="S62" i="13"/>
  <c r="S54" i="13"/>
  <c r="S46" i="13"/>
  <c r="S38" i="13"/>
  <c r="S60" i="13"/>
  <c r="S36" i="13"/>
  <c r="S51" i="13"/>
  <c r="S43" i="13"/>
  <c r="S61" i="13"/>
  <c r="S53" i="13"/>
  <c r="S45" i="13"/>
  <c r="S37" i="13"/>
  <c r="S52" i="13"/>
  <c r="S44" i="13"/>
  <c r="S59" i="13"/>
  <c r="S35" i="13"/>
  <c r="S40" i="13"/>
  <c r="S55" i="13"/>
  <c r="S39" i="13"/>
  <c r="S58" i="13"/>
  <c r="S50" i="13"/>
  <c r="S42" i="13"/>
  <c r="S34" i="13"/>
  <c r="S56" i="13"/>
  <c r="S48" i="13"/>
  <c r="S63" i="13"/>
  <c r="S47" i="13"/>
  <c r="S57" i="13"/>
  <c r="S49" i="13"/>
  <c r="S41" i="13"/>
  <c r="Y47" i="13"/>
  <c r="Y49" i="13"/>
  <c r="Y55" i="13"/>
  <c r="Y54" i="13"/>
  <c r="Y53" i="13"/>
  <c r="Y45" i="13"/>
  <c r="Y46" i="13"/>
  <c r="Y48" i="13"/>
  <c r="Y51" i="13"/>
  <c r="Y56" i="13"/>
  <c r="Y50" i="13"/>
  <c r="A24" i="17" l="1"/>
  <c r="A17" i="13"/>
  <c r="Y3" i="13"/>
  <c r="S3" i="13"/>
  <c r="M4" i="13"/>
  <c r="L4" i="13"/>
  <c r="K4" i="13"/>
  <c r="F4" i="13"/>
  <c r="E4" i="13"/>
  <c r="D4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2" i="13"/>
  <c r="AA5" i="13"/>
  <c r="O12" i="13"/>
  <c r="J26" i="13"/>
  <c r="L26" i="13"/>
  <c r="J27" i="13"/>
  <c r="L27" i="13"/>
  <c r="J28" i="13"/>
  <c r="L28" i="13"/>
  <c r="J29" i="13"/>
  <c r="L29" i="13"/>
  <c r="J30" i="13"/>
  <c r="L30" i="13"/>
  <c r="J31" i="13"/>
  <c r="L31" i="13"/>
  <c r="J32" i="13"/>
  <c r="L32" i="13"/>
  <c r="D33" i="13"/>
  <c r="J33" i="13"/>
  <c r="L33" i="13"/>
  <c r="D34" i="13"/>
  <c r="J34" i="13"/>
  <c r="L34" i="13"/>
  <c r="D35" i="13"/>
  <c r="J35" i="13"/>
  <c r="D36" i="13"/>
  <c r="J36" i="13"/>
  <c r="D37" i="13"/>
  <c r="J37" i="13"/>
  <c r="D38" i="13"/>
  <c r="J38" i="13"/>
  <c r="D39" i="13"/>
  <c r="J39" i="13"/>
  <c r="D40" i="13"/>
  <c r="J40" i="13"/>
  <c r="D41" i="13"/>
  <c r="J41" i="13"/>
  <c r="D42" i="13"/>
  <c r="J42" i="13"/>
  <c r="D43" i="13"/>
  <c r="J43" i="13"/>
  <c r="D44" i="13"/>
  <c r="J44" i="13"/>
  <c r="D45" i="13"/>
  <c r="J45" i="13"/>
  <c r="D46" i="13"/>
  <c r="J46" i="13"/>
  <c r="D47" i="13"/>
  <c r="J47" i="13"/>
  <c r="D63" i="13"/>
  <c r="D62" i="13"/>
  <c r="D61" i="13"/>
  <c r="D60" i="13"/>
  <c r="D59" i="13"/>
  <c r="D58" i="13"/>
  <c r="D57" i="13"/>
  <c r="J56" i="13"/>
  <c r="D56" i="13"/>
  <c r="J55" i="13"/>
  <c r="D55" i="13"/>
  <c r="J54" i="13"/>
  <c r="D54" i="13"/>
  <c r="J53" i="13"/>
  <c r="D53" i="13"/>
  <c r="J52" i="13"/>
  <c r="D52" i="13"/>
  <c r="J51" i="13"/>
  <c r="D51" i="13"/>
  <c r="J50" i="13"/>
  <c r="D50" i="13"/>
  <c r="J49" i="13"/>
  <c r="D49" i="13"/>
  <c r="J48" i="13"/>
  <c r="D48" i="13"/>
  <c r="Z5" i="13"/>
  <c r="X5" i="13"/>
  <c r="T5" i="13"/>
  <c r="R5" i="13"/>
  <c r="J2" i="13" l="1"/>
  <c r="J3" i="13"/>
  <c r="L3" i="13"/>
  <c r="L2" i="13"/>
  <c r="D2" i="13"/>
  <c r="D3" i="13"/>
  <c r="A25" i="17"/>
  <c r="A18" i="13"/>
  <c r="M2" i="13"/>
  <c r="M3" i="13"/>
  <c r="O17" i="13"/>
  <c r="O14" i="13"/>
  <c r="O15" i="13"/>
  <c r="Z12" i="13"/>
  <c r="O16" i="13"/>
  <c r="O18" i="13"/>
  <c r="O13" i="13"/>
  <c r="A26" i="17" l="1"/>
  <c r="A19" i="13"/>
  <c r="O19" i="13" s="1"/>
  <c r="R66" i="13"/>
  <c r="R68" i="13"/>
  <c r="R64" i="13"/>
  <c r="R67" i="13"/>
  <c r="R65" i="13"/>
  <c r="R53" i="13"/>
  <c r="AA40" i="13"/>
  <c r="AA41" i="13"/>
  <c r="AA39" i="13"/>
  <c r="AA38" i="13"/>
  <c r="AA66" i="13"/>
  <c r="AA65" i="13"/>
  <c r="AA51" i="13"/>
  <c r="AA50" i="13"/>
  <c r="AA49" i="13"/>
  <c r="AA48" i="13"/>
  <c r="AA47" i="13"/>
  <c r="AA68" i="13"/>
  <c r="AA45" i="13"/>
  <c r="AA67" i="13"/>
  <c r="AA43" i="13"/>
  <c r="AA46" i="13"/>
  <c r="AA44" i="13"/>
  <c r="AA64" i="13"/>
  <c r="AA56" i="13"/>
  <c r="AA59" i="13"/>
  <c r="AA52" i="13"/>
  <c r="AA55" i="13"/>
  <c r="AA62" i="13"/>
  <c r="AA63" i="13"/>
  <c r="AA53" i="13"/>
  <c r="AA61" i="13"/>
  <c r="AA54" i="13"/>
  <c r="AA58" i="13"/>
  <c r="AA57" i="13"/>
  <c r="AA42" i="13"/>
  <c r="AA60" i="13"/>
  <c r="Z15" i="13"/>
  <c r="Z21" i="13"/>
  <c r="Z13" i="13"/>
  <c r="Z17" i="13"/>
  <c r="Z20" i="13"/>
  <c r="Z16" i="13"/>
  <c r="Z14" i="13"/>
  <c r="Z19" i="13"/>
  <c r="Z18" i="13"/>
  <c r="Z25" i="13"/>
  <c r="Z22" i="13"/>
  <c r="Z23" i="13"/>
  <c r="Z31" i="13"/>
  <c r="R50" i="13"/>
  <c r="Z28" i="13"/>
  <c r="Z27" i="13"/>
  <c r="R54" i="13"/>
  <c r="Z29" i="13"/>
  <c r="Z33" i="13"/>
  <c r="R44" i="13"/>
  <c r="Z26" i="13"/>
  <c r="R33" i="13"/>
  <c r="Z34" i="13"/>
  <c r="R55" i="13"/>
  <c r="R63" i="13"/>
  <c r="R48" i="13"/>
  <c r="R38" i="13"/>
  <c r="R47" i="13"/>
  <c r="R36" i="13"/>
  <c r="R43" i="13"/>
  <c r="R37" i="13"/>
  <c r="R56" i="13"/>
  <c r="R62" i="13"/>
  <c r="R45" i="13"/>
  <c r="R35" i="13"/>
  <c r="Z30" i="13"/>
  <c r="R59" i="13"/>
  <c r="R61" i="13"/>
  <c r="R58" i="13"/>
  <c r="R51" i="13"/>
  <c r="Z32" i="13"/>
  <c r="R42" i="13"/>
  <c r="R40" i="13"/>
  <c r="R52" i="13"/>
  <c r="R49" i="13"/>
  <c r="X41" i="13"/>
  <c r="X55" i="13"/>
  <c r="X40" i="13"/>
  <c r="X27" i="13"/>
  <c r="R34" i="13"/>
  <c r="X50" i="13"/>
  <c r="X26" i="13"/>
  <c r="X51" i="13"/>
  <c r="X29" i="13"/>
  <c r="X53" i="13"/>
  <c r="X45" i="13"/>
  <c r="X49" i="13"/>
  <c r="X33" i="13"/>
  <c r="X28" i="13"/>
  <c r="X31" i="13"/>
  <c r="X39" i="13"/>
  <c r="X42" i="13"/>
  <c r="X30" i="13"/>
  <c r="X56" i="13"/>
  <c r="X35" i="13"/>
  <c r="R41" i="13"/>
  <c r="X38" i="13"/>
  <c r="X32" i="13"/>
  <c r="X37" i="13"/>
  <c r="R57" i="13"/>
  <c r="X44" i="13"/>
  <c r="X46" i="13"/>
  <c r="X34" i="13"/>
  <c r="X43" i="13"/>
  <c r="X52" i="13"/>
  <c r="R39" i="13"/>
  <c r="X47" i="13"/>
  <c r="R46" i="13"/>
  <c r="X54" i="13"/>
  <c r="X36" i="13"/>
  <c r="Z24" i="13"/>
  <c r="X48" i="13"/>
  <c r="R60" i="13"/>
  <c r="R3" i="13" l="1"/>
  <c r="A27" i="17"/>
  <c r="A20" i="13"/>
  <c r="O20" i="13" s="1"/>
  <c r="Z3" i="13"/>
  <c r="AA3" i="13"/>
  <c r="X3" i="13"/>
  <c r="T3" i="13"/>
  <c r="A28" i="17" l="1"/>
  <c r="A21" i="13"/>
  <c r="O21" i="13" s="1"/>
  <c r="A29" i="17" l="1"/>
  <c r="A22" i="13"/>
  <c r="O22" i="13" s="1"/>
  <c r="A30" i="17" l="1"/>
  <c r="A23" i="13"/>
  <c r="O23" i="13" s="1"/>
  <c r="A31" i="17" l="1"/>
  <c r="A24" i="13"/>
  <c r="O24" i="13" s="1"/>
  <c r="A32" i="17" l="1"/>
  <c r="A25" i="13"/>
  <c r="O25" i="13" s="1"/>
  <c r="A33" i="17" l="1"/>
  <c r="A26" i="13"/>
  <c r="O26" i="13" s="1"/>
  <c r="A34" i="17" l="1"/>
  <c r="A27" i="13"/>
  <c r="O27" i="13" s="1"/>
  <c r="A35" i="17" l="1"/>
  <c r="A28" i="13"/>
  <c r="O28" i="13" s="1"/>
  <c r="A36" i="17" l="1"/>
  <c r="A29" i="13"/>
  <c r="O29" i="13" s="1"/>
  <c r="A37" i="17" l="1"/>
  <c r="A30" i="13"/>
  <c r="O30" i="13" s="1"/>
  <c r="A38" i="17" l="1"/>
  <c r="A31" i="13"/>
  <c r="O31" i="13" s="1"/>
  <c r="A39" i="17" l="1"/>
  <c r="A32" i="13"/>
  <c r="O32" i="13" s="1"/>
  <c r="A40" i="17" l="1"/>
  <c r="A33" i="13"/>
  <c r="O33" i="13" s="1"/>
  <c r="A41" i="17" l="1"/>
  <c r="A34" i="13"/>
  <c r="O34" i="13" s="1"/>
  <c r="A42" i="17" l="1"/>
  <c r="A35" i="13"/>
  <c r="O35" i="13" s="1"/>
  <c r="A43" i="17" l="1"/>
  <c r="A36" i="13"/>
  <c r="O36" i="13" s="1"/>
  <c r="A44" i="17" l="1"/>
  <c r="A37" i="13"/>
  <c r="O37" i="13" s="1"/>
  <c r="A45" i="17" l="1"/>
  <c r="A38" i="13"/>
  <c r="O38" i="13" s="1"/>
  <c r="A46" i="17" l="1"/>
  <c r="A39" i="13"/>
  <c r="O39" i="13" s="1"/>
  <c r="A47" i="17" l="1"/>
  <c r="A40" i="13"/>
  <c r="O40" i="13" s="1"/>
  <c r="A48" i="17" l="1"/>
  <c r="A41" i="13"/>
  <c r="O41" i="13" s="1"/>
  <c r="A49" i="17" l="1"/>
  <c r="A42" i="13"/>
  <c r="O42" i="13" s="1"/>
  <c r="A50" i="17" l="1"/>
  <c r="A43" i="13"/>
  <c r="O43" i="13" s="1"/>
  <c r="A51" i="17" l="1"/>
  <c r="A44" i="13"/>
  <c r="O44" i="13" s="1"/>
  <c r="A52" i="17" l="1"/>
  <c r="A45" i="13"/>
  <c r="O45" i="13" s="1"/>
  <c r="A53" i="17" l="1"/>
  <c r="A46" i="13"/>
  <c r="O46" i="13" s="1"/>
  <c r="A54" i="17" l="1"/>
  <c r="A47" i="13"/>
  <c r="O47" i="13" s="1"/>
  <c r="A55" i="17" l="1"/>
  <c r="A48" i="13"/>
  <c r="O48" i="13" s="1"/>
  <c r="A56" i="17" l="1"/>
  <c r="A49" i="13"/>
  <c r="O49" i="13" s="1"/>
  <c r="A57" i="17" l="1"/>
  <c r="A50" i="13"/>
  <c r="O50" i="13" s="1"/>
  <c r="A58" i="17" l="1"/>
  <c r="A51" i="13"/>
  <c r="O51" i="13" s="1"/>
  <c r="A59" i="17" l="1"/>
  <c r="A52" i="13"/>
  <c r="O52" i="13" s="1"/>
  <c r="A60" i="17" l="1"/>
  <c r="A53" i="13"/>
  <c r="O53" i="13" s="1"/>
  <c r="A61" i="17" l="1"/>
  <c r="A54" i="13"/>
  <c r="O54" i="13" s="1"/>
  <c r="A62" i="17" l="1"/>
  <c r="A55" i="13"/>
  <c r="O55" i="13" s="1"/>
  <c r="A63" i="17" l="1"/>
  <c r="A56" i="13"/>
  <c r="O56" i="13" s="1"/>
  <c r="A64" i="17" l="1"/>
  <c r="A57" i="13"/>
  <c r="O57" i="13" s="1"/>
  <c r="A65" i="17" l="1"/>
  <c r="A58" i="13"/>
  <c r="O58" i="13" s="1"/>
  <c r="A66" i="17" l="1"/>
  <c r="A59" i="13"/>
  <c r="O59" i="13" s="1"/>
  <c r="A67" i="17" l="1"/>
  <c r="A60" i="13"/>
  <c r="O60" i="13" s="1"/>
  <c r="A68" i="17" l="1"/>
  <c r="A61" i="13"/>
  <c r="O61" i="13" s="1"/>
  <c r="A69" i="17" l="1"/>
  <c r="A62" i="13"/>
  <c r="O62" i="13" s="1"/>
  <c r="A70" i="17" l="1"/>
  <c r="A63" i="13"/>
  <c r="O63" i="13" s="1"/>
  <c r="A71" i="17" l="1"/>
  <c r="A64" i="13"/>
  <c r="O64" i="13" s="1"/>
  <c r="A72" i="17" l="1"/>
  <c r="A65" i="13"/>
  <c r="O65" i="13" s="1"/>
  <c r="A73" i="17" l="1"/>
  <c r="A66" i="13"/>
  <c r="O66" i="13" s="1"/>
  <c r="A74" i="17" l="1"/>
  <c r="A68" i="13" s="1"/>
  <c r="O68" i="13" s="1"/>
  <c r="A67" i="13"/>
  <c r="O6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tc={ABFFF0D4-A960-4EAA-9D0E-786F2D72B360}</author>
    <author>tc={BCF61490-9891-45E4-A315-13F1CDFF54B4}</author>
    <author>tc={105238F2-43BF-4DCE-8B14-97A787510EF1}</author>
    <author>tc={02BBAE35-06EB-41D9-A2D4-4912F9CF96D2}</author>
    <author>tc={472AB1F6-5065-4BC2-BA59-32B61F8F75CB}</author>
  </authors>
  <commentList>
    <comment ref="B10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only for SWO</t>
      </text>
    </comment>
    <comment ref="B20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SCRSCatalogues_SWO_v1.xlsx</t>
      </text>
    </comment>
    <comment ref="B22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more than 3: Many</t>
      </text>
    </comment>
    <comment ref="B25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CV of any CPUE time series be finally evaluated, subjectively, relative to the other CPUEs in the table</t>
      </text>
    </comment>
    <comment ref="B26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more of a judgement call on the part of the author and the Group. There is no numercial test or objective manner to make this determination,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tc={578B9786-86AB-4E61-B891-A227504E71B0}</author>
  </authors>
  <commentList>
    <comment ref="B32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only for SWO</t>
      </text>
    </comment>
  </commentList>
</comments>
</file>

<file path=xl/sharedStrings.xml><?xml version="1.0" encoding="utf-8"?>
<sst xmlns="http://schemas.openxmlformats.org/spreadsheetml/2006/main" count="891" uniqueCount="287">
  <si>
    <t>CV</t>
  </si>
  <si>
    <t>series</t>
  </si>
  <si>
    <t>area</t>
  </si>
  <si>
    <t>method</t>
  </si>
  <si>
    <t>time of the year</t>
  </si>
  <si>
    <t>source</t>
  </si>
  <si>
    <t>Year</t>
  </si>
  <si>
    <t>GLM-delta-lognormal</t>
  </si>
  <si>
    <t>units of index</t>
  </si>
  <si>
    <t>count</t>
  </si>
  <si>
    <t>weight</t>
  </si>
  <si>
    <t>Yes</t>
  </si>
  <si>
    <t>all months</t>
  </si>
  <si>
    <t>SCRS/2017/078</t>
  </si>
  <si>
    <t>mean_per</t>
  </si>
  <si>
    <t>SCRS/2022/051</t>
  </si>
  <si>
    <t>age range</t>
  </si>
  <si>
    <t>west of SAtl</t>
  </si>
  <si>
    <t>SW SAtl</t>
  </si>
  <si>
    <t>SAtl</t>
  </si>
  <si>
    <t xml:space="preserve">Std. </t>
  </si>
  <si>
    <t>SCRS/2013/101</t>
  </si>
  <si>
    <t>whole period</t>
  </si>
  <si>
    <t>scaled to mean</t>
  </si>
  <si>
    <t>No</t>
  </si>
  <si>
    <t>number</t>
  </si>
  <si>
    <t>n_SPN LL</t>
  </si>
  <si>
    <t>w_SPN LL</t>
  </si>
  <si>
    <t>CTP LL1</t>
  </si>
  <si>
    <t>CTP LL2</t>
  </si>
  <si>
    <t>ZAF LL</t>
  </si>
  <si>
    <t>BRA LL</t>
  </si>
  <si>
    <t xml:space="preserve">* this index was not updated because the fishery has ceased. </t>
  </si>
  <si>
    <t>scaled to  overlap years</t>
  </si>
  <si>
    <t>scaled to overlap years</t>
  </si>
  <si>
    <t>SATL</t>
  </si>
  <si>
    <t>SPN LL</t>
  </si>
  <si>
    <t>JPNLL</t>
  </si>
  <si>
    <t>ave</t>
  </si>
  <si>
    <t>JPNLL1_2022</t>
  </si>
  <si>
    <t>JPNLL2_2022</t>
  </si>
  <si>
    <t>SCRS/2026/052</t>
  </si>
  <si>
    <t>SCRS/2026/018</t>
  </si>
  <si>
    <t>SCRS/2026/034</t>
  </si>
  <si>
    <t>SCRS/2026/039</t>
  </si>
  <si>
    <t>GAMM</t>
  </si>
  <si>
    <t>SCRS/2026/042</t>
  </si>
  <si>
    <t>GLM</t>
  </si>
  <si>
    <t>April–December</t>
  </si>
  <si>
    <t xml:space="preserve">April–May and October–December </t>
  </si>
  <si>
    <t>Nominal CPUE</t>
  </si>
  <si>
    <t>*terminated Sept 2023 due to traplines</t>
  </si>
  <si>
    <t>CV**</t>
  </si>
  <si>
    <t>NA</t>
  </si>
  <si>
    <t>updated</t>
  </si>
  <si>
    <t>SCRS/2026/029</t>
  </si>
  <si>
    <t>GLMM</t>
  </si>
  <si>
    <t>kg</t>
  </si>
  <si>
    <t>num</t>
  </si>
  <si>
    <t>year</t>
  </si>
  <si>
    <t>lsmean</t>
  </si>
  <si>
    <t>SE</t>
  </si>
  <si>
    <t>asymp.LCL</t>
  </si>
  <si>
    <t>asymp.UCL</t>
  </si>
  <si>
    <t>Number</t>
  </si>
  <si>
    <t>Weight (kg)</t>
  </si>
  <si>
    <t>Eastern Med</t>
  </si>
  <si>
    <t>Western Med</t>
  </si>
  <si>
    <t>Wmed SPNLL</t>
  </si>
  <si>
    <t>value</t>
  </si>
  <si>
    <t xml:space="preserve">Table X. Available abundance indices for the Mediterranean in 2026. </t>
  </si>
  <si>
    <t xml:space="preserve">Table X. Available abundance indices for South Atlantic in 2026.  </t>
  </si>
  <si>
    <t>SCRS/2026/043</t>
  </si>
  <si>
    <t>Joint LL</t>
  </si>
  <si>
    <t>Sensitivity only</t>
  </si>
  <si>
    <t>Use in 2026 SA</t>
  </si>
  <si>
    <t>Use in 2021 SA</t>
  </si>
  <si>
    <t>SCRS/2026/048</t>
  </si>
  <si>
    <t>MOR_LL</t>
  </si>
  <si>
    <t>SCRS/2014/112</t>
  </si>
  <si>
    <t>cpue</t>
  </si>
  <si>
    <t>ul</t>
  </si>
  <si>
    <t>ll</t>
  </si>
  <si>
    <t>Nom.CPUE</t>
  </si>
  <si>
    <t>MORLL</t>
  </si>
  <si>
    <t>MESO_density_stdcpue</t>
  </si>
  <si>
    <t>upr_resp</t>
  </si>
  <si>
    <t>lwr_resp</t>
  </si>
  <si>
    <t>fit_resp</t>
  </si>
  <si>
    <t>MESO_biomass_stdcpue</t>
  </si>
  <si>
    <t>SCRS_2026_042</t>
  </si>
  <si>
    <t>ITA</t>
  </si>
  <si>
    <t>CV calc</t>
  </si>
  <si>
    <t>W/1000hooks</t>
  </si>
  <si>
    <t>N/1000hooks</t>
  </si>
  <si>
    <t>east of SAtl</t>
  </si>
  <si>
    <t>JPN LL</t>
  </si>
  <si>
    <t>Nominal</t>
  </si>
  <si>
    <t>West/W</t>
  </si>
  <si>
    <t>West/n</t>
  </si>
  <si>
    <t>East/W</t>
  </si>
  <si>
    <t>Use in 2020 SA</t>
  </si>
  <si>
    <t>GRC_LL</t>
  </si>
  <si>
    <t xml:space="preserve">Compare GRC LL index </t>
  </si>
  <si>
    <t>vs</t>
  </si>
  <si>
    <t>Compare MOR LL index</t>
  </si>
  <si>
    <t xml:space="preserve">Compare n_SPN LL index </t>
  </si>
  <si>
    <t xml:space="preserve">Compare w_SPN LL index </t>
  </si>
  <si>
    <t>Stock</t>
  </si>
  <si>
    <t>Med</t>
  </si>
  <si>
    <t>South</t>
  </si>
  <si>
    <t>stock, med and south</t>
  </si>
  <si>
    <t>SCRS/2022/057</t>
  </si>
  <si>
    <t>w SPN LL</t>
  </si>
  <si>
    <t>n SPN LL</t>
  </si>
  <si>
    <t>BRA-URY LL_NoVessel</t>
  </si>
  <si>
    <t>URY LL hist*</t>
  </si>
  <si>
    <t>URY LL*</t>
  </si>
  <si>
    <t>BRA-URY LL</t>
  </si>
  <si>
    <t>2026 BRA-URY LL w_vessel</t>
  </si>
  <si>
    <t>2026 BRA-URY LL novessel</t>
  </si>
  <si>
    <t>2022 BRALL</t>
  </si>
  <si>
    <t>(2) for recent years, (5-7) use all available data; only late period was used previously (1998-2020)</t>
  </si>
  <si>
    <t>Gear configuration and environmental factors were used.</t>
  </si>
  <si>
    <t>Not to split the time series (1994-2020)</t>
  </si>
  <si>
    <t>Other comments</t>
  </si>
  <si>
    <t>For 19: Is the survey design clearly described?</t>
  </si>
  <si>
    <t>Yes/No</t>
  </si>
  <si>
    <t>For fisheries independent surveys: what is the survey type?</t>
  </si>
  <si>
    <t>Acoustic/Aerial/Larval/Other (explain below)</t>
  </si>
  <si>
    <t>Is this standardised CPUE time series continuous?</t>
  </si>
  <si>
    <t>Are data adequate for standardization purposes?</t>
  </si>
  <si>
    <t>Possible</t>
  </si>
  <si>
    <t>Unlikely</t>
  </si>
  <si>
    <t>Annual variation in the estimated CPUE exceeds biological plausibility</t>
  </si>
  <si>
    <t>Likely/Possible/Unlikely</t>
  </si>
  <si>
    <t>Low</t>
  </si>
  <si>
    <t>Variable</t>
  </si>
  <si>
    <t>Medium</t>
  </si>
  <si>
    <t>Estimated annual CVs of the CPUE series</t>
  </si>
  <si>
    <t>High/Medium/Low/Variable</t>
  </si>
  <si>
    <t>Does the index standardization account for Known factors that influence catchability/selectivity? (e.g. Type of hook, bait type, depth etc.)</t>
  </si>
  <si>
    <t>Few</t>
  </si>
  <si>
    <t>None</t>
  </si>
  <si>
    <t>Are other indices available for the same geographic range?</t>
  </si>
  <si>
    <t>None/Few/Many</t>
  </si>
  <si>
    <t>Many</t>
  </si>
  <si>
    <t>Are other indices available for the same time period?</t>
  </si>
  <si>
    <t>longer than 20 years</t>
  </si>
  <si>
    <t>11-20 years</t>
  </si>
  <si>
    <t>Length of Time Series</t>
  </si>
  <si>
    <t>0-5 year/6-10 years/11-20 years/Longer than 20 years</t>
  </si>
  <si>
    <t>1-5</t>
  </si>
  <si>
    <t>6-10</t>
  </si>
  <si>
    <t>Ranking of Catch of fleet in TINC database (use data catalogue)</t>
  </si>
  <si>
    <t>1-5/6-10/11 or more</t>
  </si>
  <si>
    <t>Set</t>
  </si>
  <si>
    <t>trip</t>
  </si>
  <si>
    <t>Data resolution level</t>
  </si>
  <si>
    <t>Set/Trip/OTH</t>
  </si>
  <si>
    <t>Atl S</t>
  </si>
  <si>
    <t>Atl SE</t>
  </si>
  <si>
    <t>Atl SW</t>
  </si>
  <si>
    <t>Geographical Area</t>
  </si>
  <si>
    <t>Atlantic/Atl N/Atl S/Atl NW/Atl NE/Atl SW/Atl SE/Tropical/Med/Localised(&lt;10x10)</t>
  </si>
  <si>
    <t>Data classifications appropriate?</t>
  </si>
  <si>
    <t>Yes/No/NA</t>
  </si>
  <si>
    <t>Data exclusions appropriate?</t>
  </si>
  <si>
    <t>Documented data exclusions and classifications?</t>
  </si>
  <si>
    <t>Well</t>
  </si>
  <si>
    <t>How does the model perform relative to the diagnostics</t>
  </si>
  <si>
    <t>Well/Mixed/Poorly</t>
  </si>
  <si>
    <t>Sufficient</t>
  </si>
  <si>
    <t>Are sufficient diagnostics provided to assess model performance?</t>
  </si>
  <si>
    <t>Sufficient/Incomplete/None</t>
  </si>
  <si>
    <t>91-100%</t>
  </si>
  <si>
    <t>71-80%</t>
  </si>
  <si>
    <t>If the answer to 1 is yes, what is the percentage?</t>
  </si>
  <si>
    <t>0-10/11-20/21-30/31-40/41-50/51-60/61-70/71-80/81-90/91-100</t>
  </si>
  <si>
    <t>Do the authors indicate the percentage of total effort of the fleet the CPUE data represents?</t>
  </si>
  <si>
    <t>Retained only</t>
  </si>
  <si>
    <t>Retained Only</t>
  </si>
  <si>
    <t>Both</t>
  </si>
  <si>
    <t xml:space="preserve">Retained only </t>
  </si>
  <si>
    <t>Does the index include discarded and retained fish?</t>
  </si>
  <si>
    <t>Retained only; Both</t>
  </si>
  <si>
    <t>Logbooks</t>
  </si>
  <si>
    <t>Observer Program</t>
  </si>
  <si>
    <t>Data Source (state if based on logbooks, observer data etc.):</t>
  </si>
  <si>
    <t>Answer options</t>
  </si>
  <si>
    <t>CTP LL</t>
  </si>
  <si>
    <t>Index Name:</t>
  </si>
  <si>
    <t>SCRS Doc No:</t>
  </si>
  <si>
    <t>Will be used in current stock assessment? State model/s.</t>
  </si>
  <si>
    <t>weight/number</t>
  </si>
  <si>
    <t>unit</t>
  </si>
  <si>
    <t>note:</t>
  </si>
  <si>
    <t>Table for evaluating CPUE series for [stock]</t>
  </si>
  <si>
    <t>Localised (&lt; 10 x 10 degrees)</t>
  </si>
  <si>
    <t>Index both Numbers and biomass Recommend use Biomass index</t>
  </si>
  <si>
    <t>Other Comments</t>
  </si>
  <si>
    <t>Estimated annual CV of the CPUE series</t>
  </si>
  <si>
    <t>Does the index standardization account for Known factors that influence catchability/selectivity? (eg. Type of hook, bait type, depth etc.)</t>
  </si>
  <si>
    <t>St. Gibrartar, West Med</t>
  </si>
  <si>
    <t>Ligurian Sea</t>
  </si>
  <si>
    <t>East Med</t>
  </si>
  <si>
    <t xml:space="preserve">Yes </t>
  </si>
  <si>
    <t>How does the model perform relative to the diagnostics ?</t>
  </si>
  <si>
    <t>Are sufficient diagnostics provided to assess model performance??</t>
  </si>
  <si>
    <t>43% latest years</t>
  </si>
  <si>
    <t>Yes on catches</t>
  </si>
  <si>
    <t>Fish market statistics</t>
  </si>
  <si>
    <t>Observations at landings and aboard</t>
  </si>
  <si>
    <t>Data Source (state if based on logbooks, observer data etc)</t>
  </si>
  <si>
    <t>Morocco longline</t>
  </si>
  <si>
    <t>Liguria longline</t>
  </si>
  <si>
    <t>Greece longline</t>
  </si>
  <si>
    <t>SPN_LL</t>
  </si>
  <si>
    <t>LIG_LL</t>
  </si>
  <si>
    <t>URY LL</t>
  </si>
  <si>
    <t>URY LL hist</t>
  </si>
  <si>
    <t>to joint BRA-URY LL</t>
  </si>
  <si>
    <t>SCRS/2026/050</t>
  </si>
  <si>
    <t>SWODP 2026</t>
  </si>
  <si>
    <t>need to update, contents are from 2022</t>
  </si>
  <si>
    <t>Mediterranean</t>
  </si>
  <si>
    <t>w_LIG_LL_early</t>
  </si>
  <si>
    <t>Compare w_LIG_LL</t>
  </si>
  <si>
    <t>Compare n_LIG_LL</t>
  </si>
  <si>
    <t>SCRS/2026/056</t>
  </si>
  <si>
    <t>delta lognormal</t>
  </si>
  <si>
    <t>CTPLL1_2022</t>
  </si>
  <si>
    <t>CTPLL2_2022</t>
  </si>
  <si>
    <t>CTPLL</t>
  </si>
  <si>
    <t>Year</t>
    <phoneticPr fontId="18" type="noConversion"/>
  </si>
  <si>
    <t>GLM</t>
    <phoneticPr fontId="18" type="noConversion"/>
  </si>
  <si>
    <t>CV</t>
    <phoneticPr fontId="18" type="noConversion"/>
  </si>
  <si>
    <t>delta</t>
    <phoneticPr fontId="18" type="noConversion"/>
  </si>
  <si>
    <t>south</t>
  </si>
  <si>
    <t>joint index</t>
  </si>
  <si>
    <t>Satl</t>
  </si>
  <si>
    <t>Spain longline</t>
  </si>
  <si>
    <t>joint LL</t>
  </si>
  <si>
    <t>Logbooks
Observer</t>
    <phoneticPr fontId="28" type="noConversion"/>
  </si>
  <si>
    <t>LIG_LLAM_Nominal</t>
  </si>
  <si>
    <t>CV: Moderately low and relatively stable, with only a few years showing notably high values</t>
  </si>
  <si>
    <t>GLM – Lognormal</t>
  </si>
  <si>
    <t>Voluntary scientific reporting fleet, observer data</t>
  </si>
  <si>
    <t>The authors recomend the use of the index that considers vessel as covariate in the model</t>
  </si>
  <si>
    <t>BRA-URY LL_withVessel</t>
  </si>
  <si>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>/without Vessel</t>
    </r>
  </si>
  <si>
    <t>GAMM- delta-lognormal</t>
  </si>
  <si>
    <t xml:space="preserve">Question to the Group: Do we need to keep these? </t>
  </si>
  <si>
    <t>Biomass  index  (&lt; 10 x 10 degrees)</t>
  </si>
  <si>
    <t>21-30%</t>
  </si>
  <si>
    <t>Index in Numbers and biomass.  Recommend to use Biomass index. The total catch by Ligurian  is about 6% of the  EU-Italy LL.</t>
  </si>
  <si>
    <t>11 or more</t>
  </si>
  <si>
    <t xml:space="preserve"> GLMM (sdmTMB)</t>
  </si>
  <si>
    <t>JPN LL1</t>
  </si>
  <si>
    <t>JPN LL2</t>
  </si>
  <si>
    <t>JPN LL3</t>
  </si>
  <si>
    <t>JPNLL1_2026</t>
  </si>
  <si>
    <t>JPNLL2_2026</t>
  </si>
  <si>
    <t>JPNLL3_2026</t>
  </si>
  <si>
    <t>split point is because of change of mean weight</t>
  </si>
  <si>
    <t>mid 1990s logbook</t>
  </si>
  <si>
    <t>because of limited dataset in 1994-1997</t>
  </si>
  <si>
    <t>suggest to use new index after 1998</t>
  </si>
  <si>
    <t>1994-2024</t>
  </si>
  <si>
    <t>1990-2024</t>
  </si>
  <si>
    <t>JPNLL3</t>
  </si>
  <si>
    <t>JPNLL2</t>
  </si>
  <si>
    <t>JPNLL1</t>
  </si>
  <si>
    <t>1976-1989</t>
  </si>
  <si>
    <t>CTPLL1</t>
  </si>
  <si>
    <t>SPNLL (weight)</t>
  </si>
  <si>
    <t>use</t>
  </si>
  <si>
    <t>SCRS/2010/085</t>
  </si>
  <si>
    <t>SIC_GN</t>
  </si>
  <si>
    <t>https://iccat.int/Documents/CVSP/CV066_2011/n_4/CV066041495.pdf</t>
  </si>
  <si>
    <t>Logbook and observer data</t>
  </si>
  <si>
    <t>Yes (the authors suggest the index in weight)</t>
  </si>
  <si>
    <t>Yes (the author suggested the index in weight that has better model diagnostics)</t>
  </si>
  <si>
    <t>n_LIG_LL*</t>
  </si>
  <si>
    <t>w_LIG_LL*</t>
  </si>
  <si>
    <t>atDP</t>
  </si>
  <si>
    <t>afterDP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</si>
</sst>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6">
    <font>
      <sz val="11"/>
      <color theme="1"/>
      <name val="Calibri"/>
      <family val="2"/>
      <scheme val="minor"/>
    </font>
    <font>
      <sz val="11"/>
      <color theme="1"/>
      <name val="Arial Unicode MS"/>
      <family val="2"/>
      <charset val="128"/>
    </font>
    <font>
      <sz val="6"/>
      <name val="Calibri"/>
      <family val="3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Cambria"/>
      <family val="1"/>
    </font>
    <font>
      <sz val="10"/>
      <name val="Cambria"/>
      <family val="1"/>
    </font>
    <font>
      <b/>
      <i/>
      <sz val="10"/>
      <name val="Cambria"/>
      <family val="1"/>
    </font>
    <font>
      <b/>
      <sz val="10"/>
      <name val="Cambria"/>
      <family val="1"/>
    </font>
    <font>
      <sz val="10"/>
      <color rgb="FF000000"/>
      <name val="Cambria"/>
      <family val="1"/>
    </font>
    <font>
      <sz val="9"/>
      <name val="Cambria"/>
      <family val="1"/>
    </font>
    <font>
      <b/>
      <sz val="10"/>
      <color rgb="FF000000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11"/>
      <name val="Cambria"/>
      <family val="1"/>
    </font>
    <font>
      <sz val="11"/>
      <color rgb="FF000000"/>
      <name val="Calibri"/>
      <family val="2"/>
    </font>
    <font>
      <sz val="11"/>
      <color rgb="FF000000"/>
      <name val="游ゴシック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Calibri"/>
      <family val="2"/>
    </font>
    <font>
      <b/>
      <sz val="14"/>
      <color rgb="FF000000"/>
      <name val="Times New Roman"/>
      <family val="1"/>
    </font>
    <font>
      <sz val="10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</borders>
  <cellStyleXfs count="51">
    <xf numFmtId="0" fontId="0" fillId="0" borderId="0"/>
    <xf numFmtId="0" fontId="3" fillId="0" borderId="0" applyBorder="0"/>
    <xf numFmtId="0" fontId="3" fillId="0" borderId="0"/>
    <xf numFmtId="0" fontId="5" fillId="0" borderId="0"/>
    <xf numFmtId="0" fontId="1" fillId="0" borderId="0">
      <alignment vertical="center"/>
    </xf>
    <xf numFmtId="0" fontId="6" fillId="0" borderId="0"/>
    <xf numFmtId="9" fontId="16" fillId="0" borderId="0" applyFont="0" applyFill="0" applyBorder="0" applyAlignment="0" applyProtection="0"/>
    <xf numFmtId="0" fontId="16" fillId="0" borderId="0"/>
    <xf numFmtId="0" fontId="20" fillId="0" borderId="0"/>
    <xf numFmtId="0" fontId="21" fillId="0" borderId="0">
      <alignment vertical="center"/>
    </xf>
    <xf numFmtId="0" fontId="28" fillId="0" borderId="0" applyNumberFormat="0" applyFill="0" applyBorder="0" applyAlignment="0" applyProtection="0"/>
    <xf numFmtId="0" fontId="29" fillId="0" borderId="5" applyNumberFormat="0" applyFill="0" applyAlignment="0" applyProtection="0"/>
    <xf numFmtId="0" fontId="30" fillId="0" borderId="6" applyNumberFormat="0" applyFill="0" applyAlignment="0" applyProtection="0"/>
    <xf numFmtId="0" fontId="3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8" borderId="0" applyNumberFormat="0" applyBorder="0" applyAlignment="0" applyProtection="0"/>
    <xf numFmtId="0" fontId="34" fillId="9" borderId="0" applyNumberFormat="0" applyBorder="0" applyAlignment="0" applyProtection="0"/>
    <xf numFmtId="0" fontId="35" fillId="10" borderId="8" applyNumberFormat="0" applyAlignment="0" applyProtection="0"/>
    <xf numFmtId="0" fontId="36" fillId="11" borderId="9" applyNumberFormat="0" applyAlignment="0" applyProtection="0"/>
    <xf numFmtId="0" fontId="37" fillId="11" borderId="8" applyNumberFormat="0" applyAlignment="0" applyProtection="0"/>
    <xf numFmtId="0" fontId="38" fillId="0" borderId="10" applyNumberFormat="0" applyFill="0" applyAlignment="0" applyProtection="0"/>
    <xf numFmtId="0" fontId="39" fillId="12" borderId="11" applyNumberFormat="0" applyAlignment="0" applyProtection="0"/>
    <xf numFmtId="0" fontId="40" fillId="0" borderId="0" applyNumberFormat="0" applyFill="0" applyBorder="0" applyAlignment="0" applyProtection="0"/>
    <xf numFmtId="0" fontId="16" fillId="13" borderId="12" applyNumberFormat="0" applyFont="0" applyAlignment="0" applyProtection="0"/>
    <xf numFmtId="0" fontId="41" fillId="0" borderId="0" applyNumberFormat="0" applyFill="0" applyBorder="0" applyAlignment="0" applyProtection="0"/>
    <xf numFmtId="0" fontId="15" fillId="0" borderId="13" applyNumberFormat="0" applyFill="0" applyAlignment="0" applyProtection="0"/>
    <xf numFmtId="0" fontId="42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42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42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42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42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42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</cellStyleXfs>
  <cellXfs count="140">
    <xf numFmtId="0" fontId="0" fillId="0" borderId="0" xfId="0"/>
    <xf numFmtId="0" fontId="3" fillId="0" borderId="0" xfId="1" applyBorder="1"/>
    <xf numFmtId="0" fontId="3" fillId="0" borderId="0" xfId="1"/>
    <xf numFmtId="0" fontId="4" fillId="0" borderId="0" xfId="1" applyFont="1" applyBorder="1" applyAlignment="1">
      <alignment horizontal="center"/>
    </xf>
    <xf numFmtId="0" fontId="3" fillId="0" borderId="0" xfId="2"/>
    <xf numFmtId="0" fontId="4" fillId="0" borderId="0" xfId="1" applyFont="1" applyBorder="1"/>
    <xf numFmtId="2" fontId="3" fillId="0" borderId="0" xfId="1" applyNumberFormat="1" applyBorder="1" applyAlignment="1">
      <alignment horizontal="center"/>
    </xf>
    <xf numFmtId="2" fontId="3" fillId="0" borderId="0" xfId="2" applyNumberFormat="1" applyAlignment="1">
      <alignment horizontal="center"/>
    </xf>
    <xf numFmtId="164" fontId="3" fillId="0" borderId="0" xfId="1" applyNumberFormat="1" applyBorder="1"/>
    <xf numFmtId="164" fontId="3" fillId="0" borderId="0" xfId="1" applyNumberFormat="1"/>
    <xf numFmtId="2" fontId="3" fillId="0" borderId="0" xfId="1" applyNumberFormat="1"/>
    <xf numFmtId="0" fontId="6" fillId="0" borderId="0" xfId="5" applyAlignment="1">
      <alignment wrapText="1"/>
    </xf>
    <xf numFmtId="0" fontId="6" fillId="0" borderId="0" xfId="5"/>
    <xf numFmtId="0" fontId="7" fillId="0" borderId="0" xfId="5" applyFont="1" applyAlignment="1">
      <alignment horizontal="center"/>
    </xf>
    <xf numFmtId="2" fontId="6" fillId="0" borderId="0" xfId="5" applyNumberFormat="1" applyAlignment="1">
      <alignment horizontal="center"/>
    </xf>
    <xf numFmtId="0" fontId="8" fillId="0" borderId="0" xfId="0" applyFont="1"/>
    <xf numFmtId="0" fontId="9" fillId="0" borderId="0" xfId="1" applyFont="1" applyBorder="1"/>
    <xf numFmtId="2" fontId="9" fillId="0" borderId="0" xfId="5" applyNumberFormat="1" applyFont="1" applyAlignment="1">
      <alignment horizontal="center"/>
    </xf>
    <xf numFmtId="0" fontId="13" fillId="0" borderId="0" xfId="1" applyFont="1" applyBorder="1" applyAlignment="1">
      <alignment horizontal="center"/>
    </xf>
    <xf numFmtId="0" fontId="9" fillId="0" borderId="0" xfId="5" applyFont="1"/>
    <xf numFmtId="0" fontId="9" fillId="0" borderId="0" xfId="5" applyFont="1" applyAlignment="1">
      <alignment horizontal="center"/>
    </xf>
    <xf numFmtId="0" fontId="9" fillId="0" borderId="0" xfId="2" applyFont="1"/>
    <xf numFmtId="164" fontId="12" fillId="0" borderId="0" xfId="0" applyNumberFormat="1" applyFont="1" applyAlignment="1">
      <alignment vertical="center"/>
    </xf>
    <xf numFmtId="0" fontId="10" fillId="2" borderId="0" xfId="5" applyFont="1" applyFill="1" applyAlignment="1">
      <alignment horizontal="right"/>
    </xf>
    <xf numFmtId="0" fontId="11" fillId="2" borderId="3" xfId="1" applyFont="1" applyFill="1" applyBorder="1" applyAlignment="1">
      <alignment horizontal="center" vertical="center"/>
    </xf>
    <xf numFmtId="0" fontId="10" fillId="2" borderId="2" xfId="5" applyFont="1" applyFill="1" applyBorder="1" applyAlignment="1">
      <alignment horizontal="right"/>
    </xf>
    <xf numFmtId="0" fontId="10" fillId="2" borderId="0" xfId="5" applyFont="1" applyFill="1" applyAlignment="1">
      <alignment horizontal="right" wrapText="1"/>
    </xf>
    <xf numFmtId="0" fontId="11" fillId="2" borderId="0" xfId="5" applyFont="1" applyFill="1" applyAlignment="1">
      <alignment horizontal="center"/>
    </xf>
    <xf numFmtId="0" fontId="11" fillId="2" borderId="3" xfId="5" applyFont="1" applyFill="1" applyBorder="1" applyAlignment="1">
      <alignment horizontal="center"/>
    </xf>
    <xf numFmtId="0" fontId="9" fillId="2" borderId="0" xfId="5" applyFont="1" applyFill="1" applyAlignment="1">
      <alignment vertical="center"/>
    </xf>
    <xf numFmtId="0" fontId="15" fillId="0" borderId="0" xfId="0" applyFont="1"/>
    <xf numFmtId="2" fontId="0" fillId="0" borderId="0" xfId="0" applyNumberFormat="1"/>
    <xf numFmtId="0" fontId="13" fillId="0" borderId="0" xfId="1" applyFont="1" applyBorder="1"/>
    <xf numFmtId="0" fontId="14" fillId="3" borderId="0" xfId="0" applyFont="1" applyFill="1" applyAlignment="1">
      <alignment horizontal="center" vertical="center" wrapText="1"/>
    </xf>
    <xf numFmtId="0" fontId="6" fillId="0" borderId="0" xfId="5" applyAlignment="1">
      <alignment horizontal="left"/>
    </xf>
    <xf numFmtId="0" fontId="0" fillId="0" borderId="0" xfId="0" applyAlignment="1">
      <alignment horizontal="left"/>
    </xf>
    <xf numFmtId="0" fontId="10" fillId="2" borderId="0" xfId="5" applyFont="1" applyFill="1" applyAlignment="1">
      <alignment horizontal="left" wrapText="1"/>
    </xf>
    <xf numFmtId="0" fontId="10" fillId="2" borderId="0" xfId="5" applyFont="1" applyFill="1" applyAlignment="1">
      <alignment horizontal="left"/>
    </xf>
    <xf numFmtId="2" fontId="9" fillId="0" borderId="0" xfId="1" applyNumberFormat="1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4" fontId="9" fillId="2" borderId="0" xfId="1" applyNumberFormat="1" applyFont="1" applyFill="1" applyBorder="1" applyAlignment="1">
      <alignment horizontal="center" vertical="center"/>
    </xf>
    <xf numFmtId="0" fontId="9" fillId="0" borderId="0" xfId="1" applyFont="1" applyBorder="1" applyAlignment="1">
      <alignment wrapText="1"/>
    </xf>
    <xf numFmtId="0" fontId="11" fillId="2" borderId="1" xfId="5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0" fillId="0" borderId="0" xfId="6" applyNumberFormat="1" applyFont="1"/>
    <xf numFmtId="0" fontId="0" fillId="3" borderId="0" xfId="0" applyFill="1"/>
    <xf numFmtId="164" fontId="9" fillId="2" borderId="1" xfId="1" applyNumberFormat="1" applyFont="1" applyFill="1" applyBorder="1" applyAlignment="1">
      <alignment horizontal="center" vertical="center"/>
    </xf>
    <xf numFmtId="0" fontId="9" fillId="0" borderId="0" xfId="5" applyFont="1" applyAlignment="1">
      <alignment horizontal="center" wrapText="1"/>
    </xf>
    <xf numFmtId="0" fontId="16" fillId="0" borderId="0" xfId="7"/>
    <xf numFmtId="0" fontId="8" fillId="0" borderId="0" xfId="7" applyFont="1" applyAlignment="1">
      <alignment vertical="center"/>
    </xf>
    <xf numFmtId="0" fontId="8" fillId="0" borderId="0" xfId="7" applyFont="1"/>
    <xf numFmtId="0" fontId="16" fillId="0" borderId="0" xfId="7" applyAlignment="1">
      <alignment wrapText="1"/>
    </xf>
    <xf numFmtId="0" fontId="8" fillId="0" borderId="0" xfId="7" applyFont="1" applyAlignment="1">
      <alignment vertical="center" wrapText="1"/>
    </xf>
    <xf numFmtId="0" fontId="8" fillId="0" borderId="0" xfId="7" applyFont="1" applyAlignment="1">
      <alignment wrapText="1"/>
    </xf>
    <xf numFmtId="0" fontId="17" fillId="0" borderId="2" xfId="7" applyFont="1" applyBorder="1"/>
    <xf numFmtId="0" fontId="19" fillId="0" borderId="0" xfId="7" applyFont="1"/>
    <xf numFmtId="0" fontId="20" fillId="0" borderId="0" xfId="8"/>
    <xf numFmtId="0" fontId="22" fillId="0" borderId="0" xfId="9" applyFont="1" applyAlignment="1"/>
    <xf numFmtId="0" fontId="20" fillId="0" borderId="0" xfId="8" applyAlignment="1">
      <alignment wrapText="1"/>
    </xf>
    <xf numFmtId="0" fontId="23" fillId="0" borderId="0" xfId="9" applyFont="1" applyAlignment="1">
      <alignment horizontal="center" vertical="center" wrapText="1"/>
    </xf>
    <xf numFmtId="0" fontId="23" fillId="0" borderId="0" xfId="9" applyFont="1" applyAlignment="1">
      <alignment horizontal="center" vertical="center"/>
    </xf>
    <xf numFmtId="49" fontId="23" fillId="0" borderId="0" xfId="9" applyNumberFormat="1" applyFont="1" applyAlignment="1">
      <alignment horizontal="center" vertical="center" wrapText="1"/>
    </xf>
    <xf numFmtId="0" fontId="24" fillId="0" borderId="0" xfId="9" applyFont="1" applyAlignment="1">
      <alignment horizontal="center" vertical="center" wrapText="1"/>
    </xf>
    <xf numFmtId="0" fontId="25" fillId="0" borderId="0" xfId="8" applyFont="1" applyAlignment="1">
      <alignment wrapText="1"/>
    </xf>
    <xf numFmtId="0" fontId="8" fillId="4" borderId="0" xfId="7" applyFont="1" applyFill="1"/>
    <xf numFmtId="0" fontId="8" fillId="2" borderId="0" xfId="7" applyFont="1" applyFill="1"/>
    <xf numFmtId="0" fontId="26" fillId="0" borderId="0" xfId="9" applyFont="1" applyAlignment="1">
      <alignment horizontal="center" vertical="center" wrapText="1"/>
    </xf>
    <xf numFmtId="0" fontId="17" fillId="0" borderId="4" xfId="7" applyFont="1" applyBorder="1" applyAlignment="1">
      <alignment horizontal="center" vertical="center"/>
    </xf>
    <xf numFmtId="0" fontId="27" fillId="5" borderId="1" xfId="0" applyFont="1" applyFill="1" applyBorder="1" applyAlignment="1">
      <alignment horizontal="right" vertical="center"/>
    </xf>
    <xf numFmtId="0" fontId="27" fillId="0" borderId="0" xfId="0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19" fillId="2" borderId="0" xfId="7" applyFont="1" applyFill="1"/>
    <xf numFmtId="0" fontId="8" fillId="2" borderId="0" xfId="7" applyFont="1" applyFill="1" applyAlignment="1">
      <alignment vertical="center"/>
    </xf>
    <xf numFmtId="0" fontId="8" fillId="2" borderId="0" xfId="7" applyFont="1" applyFill="1" applyAlignment="1">
      <alignment vertical="center" wrapText="1"/>
    </xf>
    <xf numFmtId="0" fontId="12" fillId="2" borderId="0" xfId="7" applyFont="1" applyFill="1" applyAlignment="1">
      <alignment horizontal="left" vertical="center" wrapText="1"/>
    </xf>
    <xf numFmtId="49" fontId="12" fillId="2" borderId="0" xfId="7" applyNumberFormat="1" applyFont="1" applyFill="1" applyAlignment="1">
      <alignment horizontal="left" vertical="center" wrapText="1"/>
    </xf>
    <xf numFmtId="0" fontId="12" fillId="2" borderId="0" xfId="7" applyFont="1" applyFill="1" applyAlignment="1">
      <alignment horizontal="left" vertical="center"/>
    </xf>
    <xf numFmtId="0" fontId="8" fillId="2" borderId="1" xfId="7" applyFont="1" applyFill="1" applyBorder="1" applyAlignment="1">
      <alignment horizontal="left" vertical="center" wrapText="1"/>
    </xf>
    <xf numFmtId="0" fontId="17" fillId="2" borderId="4" xfId="7" applyFont="1" applyFill="1" applyBorder="1" applyAlignment="1">
      <alignment horizontal="center" vertical="center"/>
    </xf>
    <xf numFmtId="0" fontId="18" fillId="6" borderId="0" xfId="7" applyFont="1" applyFill="1"/>
    <xf numFmtId="0" fontId="8" fillId="2" borderId="1" xfId="7" applyFont="1" applyFill="1" applyBorder="1" applyAlignment="1">
      <alignment wrapText="1"/>
    </xf>
    <xf numFmtId="0" fontId="8" fillId="2" borderId="1" xfId="7" applyFont="1" applyFill="1" applyBorder="1"/>
    <xf numFmtId="0" fontId="8" fillId="2" borderId="0" xfId="0" applyFont="1" applyFill="1"/>
    <xf numFmtId="2" fontId="9" fillId="2" borderId="0" xfId="1" applyNumberFormat="1" applyFont="1" applyFill="1" applyBorder="1" applyAlignment="1">
      <alignment horizontal="center" vertical="center"/>
    </xf>
    <xf numFmtId="164" fontId="6" fillId="2" borderId="0" xfId="5" applyNumberFormat="1" applyFill="1" applyAlignment="1">
      <alignment horizontal="center"/>
    </xf>
    <xf numFmtId="2" fontId="9" fillId="2" borderId="1" xfId="1" applyNumberFormat="1" applyFont="1" applyFill="1" applyBorder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0" fillId="0" borderId="0" xfId="7" applyFont="1"/>
    <xf numFmtId="164" fontId="3" fillId="2" borderId="0" xfId="5" applyNumberFormat="1" applyFont="1" applyFill="1" applyAlignment="1">
      <alignment horizontal="center"/>
    </xf>
    <xf numFmtId="0" fontId="18" fillId="0" borderId="0" xfId="7" applyFont="1"/>
    <xf numFmtId="0" fontId="8" fillId="0" borderId="1" xfId="7" applyFont="1" applyBorder="1" applyAlignment="1">
      <alignment vertical="center" wrapText="1"/>
    </xf>
    <xf numFmtId="0" fontId="12" fillId="0" borderId="0" xfId="7" applyFont="1" applyAlignment="1">
      <alignment horizontal="left" vertical="center" wrapText="1"/>
    </xf>
    <xf numFmtId="49" fontId="12" fillId="0" borderId="0" xfId="7" applyNumberFormat="1" applyFont="1" applyAlignment="1">
      <alignment horizontal="left" vertical="center" wrapText="1"/>
    </xf>
    <xf numFmtId="0" fontId="12" fillId="0" borderId="0" xfId="7" applyFont="1" applyAlignment="1">
      <alignment horizontal="left" vertical="center"/>
    </xf>
    <xf numFmtId="0" fontId="8" fillId="0" borderId="1" xfId="7" applyFont="1" applyBorder="1" applyAlignment="1">
      <alignment horizontal="left" vertical="center" wrapText="1"/>
    </xf>
    <xf numFmtId="0" fontId="8" fillId="2" borderId="14" xfId="7" applyFont="1" applyFill="1" applyBorder="1" applyAlignment="1">
      <alignment wrapText="1"/>
    </xf>
    <xf numFmtId="0" fontId="17" fillId="2" borderId="4" xfId="7" applyFont="1" applyFill="1" applyBorder="1"/>
    <xf numFmtId="0" fontId="8" fillId="2" borderId="4" xfId="7" applyFont="1" applyFill="1" applyBorder="1" applyAlignment="1">
      <alignment vertical="center"/>
    </xf>
    <xf numFmtId="0" fontId="8" fillId="2" borderId="4" xfId="7" applyFont="1" applyFill="1" applyBorder="1"/>
    <xf numFmtId="0" fontId="8" fillId="2" borderId="4" xfId="7" applyFont="1" applyFill="1" applyBorder="1" applyAlignment="1">
      <alignment vertical="center" wrapText="1"/>
    </xf>
    <xf numFmtId="0" fontId="8" fillId="2" borderId="4" xfId="7" applyFont="1" applyFill="1" applyBorder="1" applyAlignment="1">
      <alignment wrapText="1"/>
    </xf>
    <xf numFmtId="0" fontId="12" fillId="2" borderId="4" xfId="7" applyFont="1" applyFill="1" applyBorder="1" applyAlignment="1">
      <alignment horizontal="left" vertical="center" wrapText="1"/>
    </xf>
    <xf numFmtId="49" fontId="12" fillId="2" borderId="4" xfId="7" applyNumberFormat="1" applyFont="1" applyFill="1" applyBorder="1" applyAlignment="1">
      <alignment horizontal="left" vertical="center" wrapText="1"/>
    </xf>
    <xf numFmtId="0" fontId="12" fillId="2" borderId="4" xfId="7" applyFont="1" applyFill="1" applyBorder="1" applyAlignment="1">
      <alignment horizontal="left" vertical="center"/>
    </xf>
    <xf numFmtId="0" fontId="8" fillId="2" borderId="4" xfId="7" applyFont="1" applyFill="1" applyBorder="1" applyAlignment="1">
      <alignment horizontal="left" vertical="center" wrapText="1"/>
    </xf>
    <xf numFmtId="0" fontId="43" fillId="2" borderId="4" xfId="8" applyFont="1" applyFill="1" applyBorder="1"/>
    <xf numFmtId="0" fontId="8" fillId="4" borderId="4" xfId="7" applyFont="1" applyFill="1" applyBorder="1" applyAlignment="1">
      <alignment horizontal="center" vertical="center" wrapText="1"/>
    </xf>
    <xf numFmtId="0" fontId="12" fillId="4" borderId="4" xfId="7" applyFont="1" applyFill="1" applyBorder="1" applyAlignment="1">
      <alignment horizontal="center" vertical="center" wrapText="1"/>
    </xf>
    <xf numFmtId="164" fontId="12" fillId="38" borderId="0" xfId="0" applyNumberFormat="1" applyFont="1" applyFill="1" applyAlignment="1">
      <alignment horizontal="center" vertical="center"/>
    </xf>
    <xf numFmtId="0" fontId="45" fillId="2" borderId="0" xfId="0" applyFont="1" applyFill="1"/>
    <xf numFmtId="0" fontId="18" fillId="2" borderId="4" xfId="7" applyFont="1" applyFill="1" applyBorder="1"/>
    <xf numFmtId="0" fontId="17" fillId="2" borderId="4" xfId="7" applyFont="1" applyFill="1" applyBorder="1" applyAlignment="1">
      <alignment vertical="center" wrapText="1"/>
    </xf>
    <xf numFmtId="0" fontId="17" fillId="0" borderId="4" xfId="7" applyFont="1" applyBorder="1" applyAlignment="1">
      <alignment vertical="center" wrapText="1"/>
    </xf>
    <xf numFmtId="0" fontId="43" fillId="2" borderId="4" xfId="9" applyFont="1" applyFill="1" applyBorder="1" applyAlignment="1">
      <alignment horizontal="center" vertical="center" wrapText="1"/>
    </xf>
    <xf numFmtId="0" fontId="44" fillId="2" borderId="4" xfId="9" applyFont="1" applyFill="1" applyBorder="1" applyAlignment="1">
      <alignment horizontal="center" vertical="center" wrapText="1"/>
    </xf>
    <xf numFmtId="0" fontId="43" fillId="2" borderId="4" xfId="9" applyFont="1" applyFill="1" applyBorder="1" applyAlignment="1">
      <alignment vertical="center" wrapText="1"/>
    </xf>
    <xf numFmtId="0" fontId="43" fillId="2" borderId="4" xfId="8" applyFont="1" applyFill="1" applyBorder="1" applyAlignment="1">
      <alignment horizontal="center" vertical="center" wrapText="1"/>
    </xf>
    <xf numFmtId="9" fontId="43" fillId="2" borderId="4" xfId="9" applyNumberFormat="1" applyFont="1" applyFill="1" applyBorder="1" applyAlignment="1"/>
    <xf numFmtId="0" fontId="43" fillId="2" borderId="4" xfId="9" applyFont="1" applyFill="1" applyBorder="1" applyAlignment="1">
      <alignment vertical="top" wrapText="1"/>
    </xf>
    <xf numFmtId="49" fontId="43" fillId="2" borderId="4" xfId="9" applyNumberFormat="1" applyFont="1" applyFill="1" applyBorder="1" applyAlignment="1">
      <alignment horizontal="center" vertical="center" wrapText="1"/>
    </xf>
    <xf numFmtId="0" fontId="19" fillId="2" borderId="4" xfId="9" applyFont="1" applyFill="1" applyBorder="1" applyAlignment="1">
      <alignment horizontal="center" vertical="center" wrapText="1"/>
    </xf>
    <xf numFmtId="0" fontId="43" fillId="2" borderId="4" xfId="9" applyFont="1" applyFill="1" applyBorder="1" applyAlignment="1">
      <alignment horizontal="center" vertical="center"/>
    </xf>
    <xf numFmtId="0" fontId="11" fillId="2" borderId="0" xfId="5" applyFont="1" applyFill="1" applyAlignment="1">
      <alignment horizontal="center" vertical="center"/>
    </xf>
    <xf numFmtId="0" fontId="11" fillId="2" borderId="0" xfId="5" applyFont="1" applyFill="1" applyAlignment="1">
      <alignment horizontal="center" wrapText="1"/>
    </xf>
    <xf numFmtId="0" fontId="11" fillId="2" borderId="2" xfId="5" applyFont="1" applyFill="1" applyBorder="1" applyAlignment="1">
      <alignment horizontal="center" vertical="center"/>
    </xf>
    <xf numFmtId="16" fontId="11" fillId="2" borderId="0" xfId="5" applyNumberFormat="1" applyFont="1" applyFill="1" applyAlignment="1">
      <alignment horizontal="center" vertical="center"/>
    </xf>
    <xf numFmtId="0" fontId="11" fillId="2" borderId="0" xfId="5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1" fillId="2" borderId="0" xfId="5" applyFont="1" applyFill="1" applyAlignment="1">
      <alignment horizontal="center"/>
    </xf>
    <xf numFmtId="0" fontId="11" fillId="2" borderId="2" xfId="5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6" fillId="4" borderId="0" xfId="7" applyFill="1" applyAlignment="1">
      <alignment horizontal="center"/>
    </xf>
    <xf numFmtId="0" fontId="11" fillId="2" borderId="1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3" borderId="1" xfId="5" applyFont="1" applyFill="1" applyBorder="1" applyAlignment="1">
      <alignment horizontal="center" vertical="center"/>
    </xf>
    <xf numFmtId="0" fontId="16" fillId="4" borderId="0" xfId="7" applyFill="1" applyAlignment="1">
      <alignment horizontal="center" wrapText="1"/>
    </xf>
  </cellXfs>
  <cellStyles count="51">
    <cellStyle name="20% - Accent1" xfId="28" builtinId="30" customBuiltin="1"/>
    <cellStyle name="20% - Accent2" xfId="32" builtinId="34" customBuiltin="1"/>
    <cellStyle name="20% - Accent3" xfId="36" builtinId="38" customBuiltin="1"/>
    <cellStyle name="20% - Accent4" xfId="40" builtinId="42" customBuiltin="1"/>
    <cellStyle name="20% - Accent5" xfId="44" builtinId="46" customBuiltin="1"/>
    <cellStyle name="20% - Accent6" xfId="48" builtinId="50" customBuiltin="1"/>
    <cellStyle name="40% - Accent1" xfId="29" builtinId="31" customBuiltin="1"/>
    <cellStyle name="40% - Accent2" xfId="33" builtinId="35" customBuiltin="1"/>
    <cellStyle name="40% - Accent3" xfId="37" builtinId="39" customBuiltin="1"/>
    <cellStyle name="40% - Accent4" xfId="41" builtinId="43" customBuiltin="1"/>
    <cellStyle name="40% - Accent5" xfId="45" builtinId="47" customBuiltin="1"/>
    <cellStyle name="40% - Accent6" xfId="49" builtinId="51" customBuiltin="1"/>
    <cellStyle name="60% - Accent1" xfId="30" builtinId="32" customBuiltin="1"/>
    <cellStyle name="60% - Accent2" xfId="34" builtinId="36" customBuiltin="1"/>
    <cellStyle name="60% - Accent3" xfId="38" builtinId="40" customBuiltin="1"/>
    <cellStyle name="60% - Accent4" xfId="42" builtinId="44" customBuiltin="1"/>
    <cellStyle name="60% - Accent5" xfId="46" builtinId="48" customBuiltin="1"/>
    <cellStyle name="60% - Accent6" xfId="50" builtinId="52" customBuiltin="1"/>
    <cellStyle name="Accent1" xfId="27" builtinId="29" customBuiltin="1"/>
    <cellStyle name="Accent2" xfId="31" builtinId="33" customBuiltin="1"/>
    <cellStyle name="Accent3" xfId="35" builtinId="37" customBuiltin="1"/>
    <cellStyle name="Accent4" xfId="39" builtinId="41" customBuiltin="1"/>
    <cellStyle name="Accent5" xfId="43" builtinId="45" customBuiltin="1"/>
    <cellStyle name="Accent6" xfId="47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Explanatory Text" xfId="25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8" xr:uid="{00000000-0005-0000-0000-000020000000}"/>
    <cellStyle name="Normal 2 2" xfId="9" xr:uid="{00000000-0005-0000-0000-000021000000}"/>
    <cellStyle name="Normal 3" xfId="7" xr:uid="{00000000-0005-0000-0000-000022000000}"/>
    <cellStyle name="Note" xfId="24" builtinId="10" customBuiltin="1"/>
    <cellStyle name="Output" xfId="19" builtinId="21" customBuiltin="1"/>
    <cellStyle name="Percent" xfId="6" builtinId="5"/>
    <cellStyle name="TableStyleLight1" xfId="5" xr:uid="{00000000-0005-0000-0000-000026000000}"/>
    <cellStyle name="Title" xfId="10" builtinId="15" customBuiltin="1"/>
    <cellStyle name="Total" xfId="26" builtinId="25" customBuiltin="1"/>
    <cellStyle name="Warning Text" xfId="23" builtinId="11" customBuiltin="1"/>
    <cellStyle name="標準 2" xfId="1" xr:uid="{00000000-0005-0000-0000-00002F000000}"/>
    <cellStyle name="標準 3" xfId="2" xr:uid="{00000000-0005-0000-0000-000030000000}"/>
    <cellStyle name="標準 4" xfId="3" xr:uid="{00000000-0005-0000-0000-000031000000}"/>
    <cellStyle name="標準 5" xfId="4" xr:uid="{00000000-0005-0000-0000-000032000000}"/>
  </cellStyles>
  <dxfs count="0"/>
  <tableStyles count="0" defaultTableStyle="TableStyleMedium2" defaultPivotStyle="PivotStyleLight16"/>
  <colors>
    <mruColors>
      <color rgb="FFFF99CC"/>
      <color rgb="FFFF99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Atlantic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02619996611712"/>
          <c:y val="0.16910761334830152"/>
          <c:w val="0.82750852358752225"/>
          <c:h val="0.50759317212255195"/>
        </c:manualLayout>
      </c:layout>
      <c:lineChart>
        <c:grouping val="standard"/>
        <c:varyColors val="0"/>
        <c:ser>
          <c:idx val="0"/>
          <c:order val="0"/>
          <c:tx>
            <c:strRef>
              <c:f>South_Figure!$T$5</c:f>
              <c:strCache>
                <c:ptCount val="1"/>
                <c:pt idx="0">
                  <c:v>JPN LL1</c:v>
                </c:pt>
              </c:strCache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South_Figure!$T$6:$T$68</c:f>
              <c:numCache>
                <c:formatCode>General</c:formatCode>
                <c:ptCount val="63"/>
                <c:pt idx="0">
                  <c:v>2.5035765379113015</c:v>
                </c:pt>
                <c:pt idx="1">
                  <c:v>1.9027181688125889</c:v>
                </c:pt>
                <c:pt idx="2">
                  <c:v>1.7024320457796849</c:v>
                </c:pt>
                <c:pt idx="3">
                  <c:v>1.2017167381974245</c:v>
                </c:pt>
                <c:pt idx="4">
                  <c:v>0.91130185979971368</c:v>
                </c:pt>
                <c:pt idx="5">
                  <c:v>0.46065808297567945</c:v>
                </c:pt>
                <c:pt idx="6">
                  <c:v>0.80114449213161643</c:v>
                </c:pt>
                <c:pt idx="7">
                  <c:v>0.86123032904148766</c:v>
                </c:pt>
                <c:pt idx="8">
                  <c:v>0.81115879828326165</c:v>
                </c:pt>
                <c:pt idx="9">
                  <c:v>0.54077253218884114</c:v>
                </c:pt>
                <c:pt idx="10">
                  <c:v>0.44062947067238906</c:v>
                </c:pt>
                <c:pt idx="11">
                  <c:v>0.61087267525035749</c:v>
                </c:pt>
                <c:pt idx="12">
                  <c:v>0.63090128755364794</c:v>
                </c:pt>
                <c:pt idx="13">
                  <c:v>0.62088698140200271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7-40D7-AC40-15C395CE0254}"/>
            </c:ext>
          </c:extLst>
        </c:ser>
        <c:ser>
          <c:idx val="4"/>
          <c:order val="1"/>
          <c:tx>
            <c:strRef>
              <c:f>South_Figure!$U$5</c:f>
              <c:strCache>
                <c:ptCount val="1"/>
                <c:pt idx="0">
                  <c:v>JPN LL2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South_Figure!$U$6:$U$68</c:f>
              <c:numCache>
                <c:formatCode>General</c:formatCode>
                <c:ptCount val="63"/>
                <c:pt idx="14">
                  <c:v>0.65780730897009965</c:v>
                </c:pt>
                <c:pt idx="15">
                  <c:v>0.78737541528239197</c:v>
                </c:pt>
                <c:pt idx="16">
                  <c:v>0.68770764119601313</c:v>
                </c:pt>
                <c:pt idx="17">
                  <c:v>0.79734219269102991</c:v>
                </c:pt>
                <c:pt idx="18">
                  <c:v>0.79734219269102991</c:v>
                </c:pt>
                <c:pt idx="19">
                  <c:v>0.7674418604651162</c:v>
                </c:pt>
                <c:pt idx="20">
                  <c:v>0.87707641196013286</c:v>
                </c:pt>
                <c:pt idx="21">
                  <c:v>0.75747508305647837</c:v>
                </c:pt>
                <c:pt idx="22">
                  <c:v>1.0963455149501662</c:v>
                </c:pt>
                <c:pt idx="23">
                  <c:v>1.4950166112956809</c:v>
                </c:pt>
                <c:pt idx="24">
                  <c:v>0.99667774086378735</c:v>
                </c:pt>
                <c:pt idx="25">
                  <c:v>1.4950166112956809</c:v>
                </c:pt>
                <c:pt idx="26">
                  <c:v>1.2956810631229236</c:v>
                </c:pt>
                <c:pt idx="27">
                  <c:v>1.1960132890365447</c:v>
                </c:pt>
                <c:pt idx="28">
                  <c:v>1.2956810631229236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21-4F8E-8676-E621F0F42728}"/>
            </c:ext>
          </c:extLst>
        </c:ser>
        <c:ser>
          <c:idx val="5"/>
          <c:order val="2"/>
          <c:tx>
            <c:strRef>
              <c:f>South_Figure!$V$5</c:f>
              <c:strCache>
                <c:ptCount val="1"/>
                <c:pt idx="0">
                  <c:v>JPN LL3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val>
            <c:numRef>
              <c:f>South_Figure!$V$6:$V$68</c:f>
              <c:numCache>
                <c:formatCode>General</c:formatCode>
                <c:ptCount val="63"/>
                <c:pt idx="29">
                  <c:v>1.9912152269399708</c:v>
                </c:pt>
                <c:pt idx="30">
                  <c:v>2.0907759882869694</c:v>
                </c:pt>
                <c:pt idx="31">
                  <c:v>1.493411420204978</c:v>
                </c:pt>
                <c:pt idx="32">
                  <c:v>1.5929721815519766</c:v>
                </c:pt>
                <c:pt idx="33">
                  <c:v>1.1947291361639825</c:v>
                </c:pt>
                <c:pt idx="34">
                  <c:v>1.1947291361639825</c:v>
                </c:pt>
                <c:pt idx="35">
                  <c:v>1.2942898975109811</c:v>
                </c:pt>
                <c:pt idx="36">
                  <c:v>1.1947291361639825</c:v>
                </c:pt>
                <c:pt idx="37">
                  <c:v>1.095168374816984</c:v>
                </c:pt>
                <c:pt idx="38">
                  <c:v>1.1947291361639825</c:v>
                </c:pt>
                <c:pt idx="39">
                  <c:v>0.99560761346998539</c:v>
                </c:pt>
                <c:pt idx="40">
                  <c:v>0.9557833089311859</c:v>
                </c:pt>
                <c:pt idx="41">
                  <c:v>0.62723279648609076</c:v>
                </c:pt>
                <c:pt idx="42">
                  <c:v>0.61727672035139092</c:v>
                </c:pt>
                <c:pt idx="43">
                  <c:v>0.73674963396778914</c:v>
                </c:pt>
                <c:pt idx="44">
                  <c:v>1.2942898975109811</c:v>
                </c:pt>
                <c:pt idx="45">
                  <c:v>0.99560761346998539</c:v>
                </c:pt>
                <c:pt idx="46">
                  <c:v>0.81639824304538799</c:v>
                </c:pt>
                <c:pt idx="47">
                  <c:v>0.6371888726207906</c:v>
                </c:pt>
                <c:pt idx="48">
                  <c:v>0.83631039531478768</c:v>
                </c:pt>
                <c:pt idx="49">
                  <c:v>0.57745241581259144</c:v>
                </c:pt>
                <c:pt idx="50">
                  <c:v>0.66705710102489024</c:v>
                </c:pt>
                <c:pt idx="51">
                  <c:v>0.74670571010248898</c:v>
                </c:pt>
                <c:pt idx="52">
                  <c:v>0.83631039531478768</c:v>
                </c:pt>
                <c:pt idx="53">
                  <c:v>1.095168374816984</c:v>
                </c:pt>
                <c:pt idx="54">
                  <c:v>0.98565153733528554</c:v>
                </c:pt>
                <c:pt idx="55">
                  <c:v>0.91595900439238653</c:v>
                </c:pt>
                <c:pt idx="56">
                  <c:v>0.57745241581259144</c:v>
                </c:pt>
                <c:pt idx="57">
                  <c:v>0.71683748169838946</c:v>
                </c:pt>
                <c:pt idx="58">
                  <c:v>0.85622254758418737</c:v>
                </c:pt>
                <c:pt idx="59">
                  <c:v>0.61727672035139092</c:v>
                </c:pt>
                <c:pt idx="60">
                  <c:v>0.53762811127379218</c:v>
                </c:pt>
                <c:pt idx="61">
                  <c:v>0.92591508052708649</c:v>
                </c:pt>
                <c:pt idx="62">
                  <c:v>1.095168374816984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21-4F8E-8676-E621F0F42728}"/>
            </c:ext>
          </c:extLst>
        </c:ser>
        <c:ser>
          <c:idx val="2"/>
          <c:order val="3"/>
          <c:tx>
            <c:strRef>
              <c:f>South_Figure!$Z$5</c:f>
              <c:strCache>
                <c:ptCount val="1"/>
                <c:pt idx="0">
                  <c:v>CTP LL1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South_Figure!$Z$6:$Z$68</c:f>
              <c:numCache>
                <c:formatCode>General</c:formatCode>
                <c:ptCount val="63"/>
                <c:pt idx="6">
                  <c:v>1.5930457295244145</c:v>
                </c:pt>
                <c:pt idx="7">
                  <c:v>1.277307202639687</c:v>
                </c:pt>
                <c:pt idx="8">
                  <c:v>1.3321478821762296</c:v>
                </c:pt>
                <c:pt idx="9">
                  <c:v>1.5696499297621771</c:v>
                </c:pt>
                <c:pt idx="10">
                  <c:v>1.2080430098455073</c:v>
                </c:pt>
                <c:pt idx="11">
                  <c:v>1.3052057110771043</c:v>
                </c:pt>
                <c:pt idx="12">
                  <c:v>1.2081566349648163</c:v>
                </c:pt>
                <c:pt idx="13">
                  <c:v>1.0265694043863409</c:v>
                </c:pt>
                <c:pt idx="14">
                  <c:v>0.56569623575735739</c:v>
                </c:pt>
                <c:pt idx="15">
                  <c:v>0.61287547258188102</c:v>
                </c:pt>
                <c:pt idx="16">
                  <c:v>0.702258859354843</c:v>
                </c:pt>
                <c:pt idx="17">
                  <c:v>0.92528586271166591</c:v>
                </c:pt>
                <c:pt idx="18">
                  <c:v>0.92225222329499934</c:v>
                </c:pt>
                <c:pt idx="19">
                  <c:v>0.98652617474318149</c:v>
                </c:pt>
                <c:pt idx="20">
                  <c:v>0.87138721008646469</c:v>
                </c:pt>
                <c:pt idx="21">
                  <c:v>0.85133205468238193</c:v>
                </c:pt>
                <c:pt idx="22">
                  <c:v>1.0013886894948134</c:v>
                </c:pt>
                <c:pt idx="23">
                  <c:v>0.75288691155911425</c:v>
                </c:pt>
                <c:pt idx="24">
                  <c:v>0.68818822976037153</c:v>
                </c:pt>
                <c:pt idx="25">
                  <c:v>0.77943743956765132</c:v>
                </c:pt>
                <c:pt idx="26">
                  <c:v>0.90927657438474652</c:v>
                </c:pt>
                <c:pt idx="27">
                  <c:v>1.033190192762877</c:v>
                </c:pt>
                <c:pt idx="28">
                  <c:v>0.87789236488137368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47-40D7-AC40-15C395CE0254}"/>
            </c:ext>
          </c:extLst>
        </c:ser>
        <c:ser>
          <c:idx val="3"/>
          <c:order val="4"/>
          <c:tx>
            <c:strRef>
              <c:f>South_Figure!$AA$5</c:f>
              <c:strCache>
                <c:ptCount val="1"/>
                <c:pt idx="0">
                  <c:v>CTP LL2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South_Figure!$AA$6:$AA$68</c:f>
              <c:numCache>
                <c:formatCode>General</c:formatCode>
                <c:ptCount val="63"/>
                <c:pt idx="32">
                  <c:v>2.3869285472039654</c:v>
                </c:pt>
                <c:pt idx="33">
                  <c:v>1.6162857145673055</c:v>
                </c:pt>
                <c:pt idx="34">
                  <c:v>1.7799832840227501</c:v>
                </c:pt>
                <c:pt idx="35">
                  <c:v>1.1029251558638575</c:v>
                </c:pt>
                <c:pt idx="36">
                  <c:v>0.81942563121720635</c:v>
                </c:pt>
                <c:pt idx="37">
                  <c:v>0.75572454059461969</c:v>
                </c:pt>
                <c:pt idx="38">
                  <c:v>0.91891322738380532</c:v>
                </c:pt>
                <c:pt idx="39">
                  <c:v>0.76153665137946802</c:v>
                </c:pt>
                <c:pt idx="40">
                  <c:v>0.7856785946591146</c:v>
                </c:pt>
                <c:pt idx="41">
                  <c:v>0.69418176484579175</c:v>
                </c:pt>
                <c:pt idx="42">
                  <c:v>0.56240871693282024</c:v>
                </c:pt>
                <c:pt idx="43">
                  <c:v>0.5549887788990856</c:v>
                </c:pt>
                <c:pt idx="44">
                  <c:v>1.282452005073573</c:v>
                </c:pt>
                <c:pt idx="45">
                  <c:v>0.88812193858249244</c:v>
                </c:pt>
                <c:pt idx="46">
                  <c:v>1.1935586978143222</c:v>
                </c:pt>
                <c:pt idx="47">
                  <c:v>0.90392397621115117</c:v>
                </c:pt>
                <c:pt idx="48">
                  <c:v>0.62893941716657831</c:v>
                </c:pt>
                <c:pt idx="49">
                  <c:v>0.61855187543921486</c:v>
                </c:pt>
                <c:pt idx="50">
                  <c:v>0.65413942577427087</c:v>
                </c:pt>
                <c:pt idx="51">
                  <c:v>0.90564994842777091</c:v>
                </c:pt>
                <c:pt idx="52">
                  <c:v>0.68769277032446485</c:v>
                </c:pt>
                <c:pt idx="53">
                  <c:v>0.85366648747814133</c:v>
                </c:pt>
                <c:pt idx="54">
                  <c:v>0.8601460110068635</c:v>
                </c:pt>
                <c:pt idx="55">
                  <c:v>0.73895347925413213</c:v>
                </c:pt>
                <c:pt idx="56">
                  <c:v>0.858172548039287</c:v>
                </c:pt>
                <c:pt idx="57">
                  <c:v>0.72742499176071496</c:v>
                </c:pt>
                <c:pt idx="58">
                  <c:v>0.97090188468514971</c:v>
                </c:pt>
                <c:pt idx="59">
                  <c:v>1.5264958029756093</c:v>
                </c:pt>
                <c:pt idx="60">
                  <c:v>1.3796323813665317</c:v>
                </c:pt>
                <c:pt idx="61">
                  <c:v>1.2261017211040326</c:v>
                </c:pt>
                <c:pt idx="62">
                  <c:v>1.3564940299459045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47-40D7-AC40-15C395CE0254}"/>
            </c:ext>
          </c:extLst>
        </c:ser>
        <c:ser>
          <c:idx val="1"/>
          <c:order val="5"/>
          <c:tx>
            <c:strRef>
              <c:f>South_Figure!$P$5</c:f>
              <c:strCache>
                <c:ptCount val="1"/>
                <c:pt idx="0">
                  <c:v>Joint LL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South_Figure!$P$6:$P$68</c:f>
              <c:numCache>
                <c:formatCode>General</c:formatCode>
                <c:ptCount val="63"/>
                <c:pt idx="32">
                  <c:v>1.4377266023357886</c:v>
                </c:pt>
                <c:pt idx="33">
                  <c:v>1.268037627410769</c:v>
                </c:pt>
                <c:pt idx="34">
                  <c:v>1.3516067264859721</c:v>
                </c:pt>
                <c:pt idx="35">
                  <c:v>1.136321845434868</c:v>
                </c:pt>
                <c:pt idx="36">
                  <c:v>1.3310282083668787</c:v>
                </c:pt>
                <c:pt idx="37">
                  <c:v>0.94323625001439937</c:v>
                </c:pt>
                <c:pt idx="38">
                  <c:v>1.0636282552457668</c:v>
                </c:pt>
                <c:pt idx="39">
                  <c:v>0.95211969726120749</c:v>
                </c:pt>
                <c:pt idx="40">
                  <c:v>0.71622035644922954</c:v>
                </c:pt>
                <c:pt idx="41">
                  <c:v>0.95363371963922117</c:v>
                </c:pt>
                <c:pt idx="42">
                  <c:v>0.84754232292527643</c:v>
                </c:pt>
                <c:pt idx="43">
                  <c:v>0.84254288683037892</c:v>
                </c:pt>
                <c:pt idx="44">
                  <c:v>1.1820590500325019</c:v>
                </c:pt>
                <c:pt idx="45">
                  <c:v>1.2492801010565713</c:v>
                </c:pt>
                <c:pt idx="46">
                  <c:v>1.2737569761330929</c:v>
                </c:pt>
                <c:pt idx="47">
                  <c:v>1.0356590249335622</c:v>
                </c:pt>
                <c:pt idx="48">
                  <c:v>0.86340245933283843</c:v>
                </c:pt>
                <c:pt idx="49">
                  <c:v>0.72811657711070743</c:v>
                </c:pt>
                <c:pt idx="50">
                  <c:v>0.79584158239957248</c:v>
                </c:pt>
                <c:pt idx="51">
                  <c:v>1.0100064108284907</c:v>
                </c:pt>
                <c:pt idx="52">
                  <c:v>0.81045008583971723</c:v>
                </c:pt>
                <c:pt idx="53">
                  <c:v>0.94773188610047443</c:v>
                </c:pt>
                <c:pt idx="54">
                  <c:v>0.8675189342365236</c:v>
                </c:pt>
                <c:pt idx="55">
                  <c:v>0.80983846090555278</c:v>
                </c:pt>
                <c:pt idx="56">
                  <c:v>1.0006506317914148</c:v>
                </c:pt>
                <c:pt idx="57">
                  <c:v>0.81713692802662596</c:v>
                </c:pt>
                <c:pt idx="58">
                  <c:v>0.82040684614879933</c:v>
                </c:pt>
                <c:pt idx="59">
                  <c:v>0.85223694921691828</c:v>
                </c:pt>
                <c:pt idx="60">
                  <c:v>0.94310821755655405</c:v>
                </c:pt>
                <c:pt idx="61">
                  <c:v>1.132782904895246</c:v>
                </c:pt>
                <c:pt idx="62">
                  <c:v>1.0163714750550799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C-4D8A-88B2-8D48686A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631408"/>
        <c:axId val="1988638480"/>
      </c:lineChart>
      <c:catAx>
        <c:axId val="198863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8480"/>
        <c:crosses val="autoZero"/>
        <c:auto val="1"/>
        <c:lblAlgn val="ctr"/>
        <c:lblOffset val="100"/>
        <c:noMultiLvlLbl val="0"/>
      </c:catAx>
      <c:valAx>
        <c:axId val="1988638480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15622885951599"/>
          <c:y val="0.86663689304076197"/>
          <c:w val="0.48816465478816079"/>
          <c:h val="0.129451190392284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South or SE Atlantic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02619996611712"/>
          <c:y val="0.16910761334830152"/>
          <c:w val="0.82750852358752225"/>
          <c:h val="0.50759317212255195"/>
        </c:manualLayout>
      </c:layout>
      <c:lineChart>
        <c:grouping val="standard"/>
        <c:varyColors val="0"/>
        <c:ser>
          <c:idx val="6"/>
          <c:order val="0"/>
          <c:tx>
            <c:strRef>
              <c:f>South_Figure!$W$5</c:f>
              <c:strCache>
                <c:ptCount val="1"/>
                <c:pt idx="0">
                  <c:v>ZAF LL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South_Figure!$W$6:$W$68</c:f>
              <c:numCache>
                <c:formatCode>General</c:formatCode>
                <c:ptCount val="63"/>
                <c:pt idx="42">
                  <c:v>1.2002743484224967</c:v>
                </c:pt>
                <c:pt idx="43">
                  <c:v>1.8724279835390947</c:v>
                </c:pt>
                <c:pt idx="44">
                  <c:v>1.4307270233196159</c:v>
                </c:pt>
                <c:pt idx="45">
                  <c:v>1.3058984910836764</c:v>
                </c:pt>
                <c:pt idx="46">
                  <c:v>0.8834019204389576</c:v>
                </c:pt>
                <c:pt idx="47">
                  <c:v>0.81618655692729769</c:v>
                </c:pt>
                <c:pt idx="48">
                  <c:v>1.2194787379972567</c:v>
                </c:pt>
                <c:pt idx="49">
                  <c:v>0.5857338820301784</c:v>
                </c:pt>
                <c:pt idx="50">
                  <c:v>0.5185185185185186</c:v>
                </c:pt>
                <c:pt idx="51">
                  <c:v>0.84499314128943759</c:v>
                </c:pt>
                <c:pt idx="52">
                  <c:v>0.79698216735253768</c:v>
                </c:pt>
                <c:pt idx="53">
                  <c:v>0.96982167352537729</c:v>
                </c:pt>
                <c:pt idx="54">
                  <c:v>1.0658436213991771</c:v>
                </c:pt>
                <c:pt idx="55">
                  <c:v>0.86419753086419759</c:v>
                </c:pt>
                <c:pt idx="56">
                  <c:v>0.92181069958847739</c:v>
                </c:pt>
                <c:pt idx="57">
                  <c:v>1.2962962962962965</c:v>
                </c:pt>
                <c:pt idx="58">
                  <c:v>0.80658436213991769</c:v>
                </c:pt>
                <c:pt idx="59">
                  <c:v>0.93141289437585739</c:v>
                </c:pt>
                <c:pt idx="60">
                  <c:v>0.82578875171467769</c:v>
                </c:pt>
                <c:pt idx="61">
                  <c:v>0.95061728395061729</c:v>
                </c:pt>
                <c:pt idx="62">
                  <c:v>0.89300411522633749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20-4A19-9175-0823DC30B53A}"/>
            </c:ext>
          </c:extLst>
        </c:ser>
        <c:ser>
          <c:idx val="4"/>
          <c:order val="1"/>
          <c:tx>
            <c:strRef>
              <c:f>South_Figure!$R$5</c:f>
              <c:strCache>
                <c:ptCount val="1"/>
                <c:pt idx="0">
                  <c:v>n_SPN LL</c:v>
                </c:pt>
              </c:strCache>
            </c:strRef>
          </c:tx>
          <c:spPr>
            <a:ln w="254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South_Figure!$R$6:$R$68</c:f>
              <c:numCache>
                <c:formatCode>General</c:formatCode>
                <c:ptCount val="63"/>
                <c:pt idx="27">
                  <c:v>1.1172976139155715</c:v>
                </c:pt>
                <c:pt idx="28">
                  <c:v>0.845106526113928</c:v>
                </c:pt>
                <c:pt idx="29">
                  <c:v>0.85938475635570677</c:v>
                </c:pt>
                <c:pt idx="30">
                  <c:v>0.77450409924007935</c:v>
                </c:pt>
                <c:pt idx="31">
                  <c:v>0.70065398392780842</c:v>
                </c:pt>
                <c:pt idx="32">
                  <c:v>0.85481479476735511</c:v>
                </c:pt>
                <c:pt idx="33">
                  <c:v>1.0058207082667201</c:v>
                </c:pt>
                <c:pt idx="34">
                  <c:v>0.87930004581560461</c:v>
                </c:pt>
                <c:pt idx="35">
                  <c:v>0.88346404634915332</c:v>
                </c:pt>
                <c:pt idx="36">
                  <c:v>0.87127361581778906</c:v>
                </c:pt>
                <c:pt idx="37">
                  <c:v>0.91283242894231664</c:v>
                </c:pt>
                <c:pt idx="38">
                  <c:v>1.1350903070032146</c:v>
                </c:pt>
                <c:pt idx="39">
                  <c:v>0.97941004192997738</c:v>
                </c:pt>
                <c:pt idx="40">
                  <c:v>0.92643792372185085</c:v>
                </c:pt>
                <c:pt idx="41">
                  <c:v>0.85513956361119747</c:v>
                </c:pt>
                <c:pt idx="42">
                  <c:v>0.86873345950345149</c:v>
                </c:pt>
                <c:pt idx="43">
                  <c:v>1.033542048866112</c:v>
                </c:pt>
                <c:pt idx="44">
                  <c:v>1.0274642319313498</c:v>
                </c:pt>
                <c:pt idx="45">
                  <c:v>0.99867579370219051</c:v>
                </c:pt>
                <c:pt idx="46">
                  <c:v>0.94903255614344717</c:v>
                </c:pt>
                <c:pt idx="47">
                  <c:v>1.032822917854747</c:v>
                </c:pt>
                <c:pt idx="48">
                  <c:v>1.0449205572878708</c:v>
                </c:pt>
                <c:pt idx="49">
                  <c:v>1.0069110036710478</c:v>
                </c:pt>
                <c:pt idx="50">
                  <c:v>1.0706236915005285</c:v>
                </c:pt>
                <c:pt idx="51">
                  <c:v>1.0474375158276481</c:v>
                </c:pt>
                <c:pt idx="52">
                  <c:v>1.057412558888517</c:v>
                </c:pt>
                <c:pt idx="53">
                  <c:v>1.152500236810615</c:v>
                </c:pt>
                <c:pt idx="54">
                  <c:v>1.2288209151135432</c:v>
                </c:pt>
                <c:pt idx="55">
                  <c:v>1.2140787293805613</c:v>
                </c:pt>
                <c:pt idx="56">
                  <c:v>1.0824429576389303</c:v>
                </c:pt>
                <c:pt idx="57">
                  <c:v>1.1266231192887561</c:v>
                </c:pt>
                <c:pt idx="58">
                  <c:v>0.9852210844572975</c:v>
                </c:pt>
                <c:pt idx="59">
                  <c:v>1.0709136636825307</c:v>
                </c:pt>
                <c:pt idx="60">
                  <c:v>1.0204933006760215</c:v>
                </c:pt>
                <c:pt idx="61">
                  <c:v>1.2515199375206603</c:v>
                </c:pt>
                <c:pt idx="62">
                  <c:v>1.1292792644758944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120-4A19-9175-0823DC30B53A}"/>
            </c:ext>
          </c:extLst>
        </c:ser>
        <c:ser>
          <c:idx val="5"/>
          <c:order val="2"/>
          <c:tx>
            <c:strRef>
              <c:f>South_Figure!$S$5</c:f>
              <c:strCache>
                <c:ptCount val="1"/>
                <c:pt idx="0">
                  <c:v>w_SPN LL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South_Figure!$S$6:$S$68</c:f>
              <c:numCache>
                <c:formatCode>General</c:formatCode>
                <c:ptCount val="63"/>
                <c:pt idx="27">
                  <c:v>1.2040785144064106</c:v>
                </c:pt>
                <c:pt idx="28">
                  <c:v>0.93811347472915296</c:v>
                </c:pt>
                <c:pt idx="29">
                  <c:v>0.9195256857217291</c:v>
                </c:pt>
                <c:pt idx="30">
                  <c:v>0.83561143272683558</c:v>
                </c:pt>
                <c:pt idx="31">
                  <c:v>0.72507293975303289</c:v>
                </c:pt>
                <c:pt idx="32">
                  <c:v>0.83709612509018716</c:v>
                </c:pt>
                <c:pt idx="33">
                  <c:v>0.95702057747877323</c:v>
                </c:pt>
                <c:pt idx="34">
                  <c:v>0.85215048611826871</c:v>
                </c:pt>
                <c:pt idx="35">
                  <c:v>0.83990235680992864</c:v>
                </c:pt>
                <c:pt idx="36">
                  <c:v>0.81294015703088451</c:v>
                </c:pt>
                <c:pt idx="37">
                  <c:v>0.88785768707046075</c:v>
                </c:pt>
                <c:pt idx="38">
                  <c:v>1.0872702844507931</c:v>
                </c:pt>
                <c:pt idx="39">
                  <c:v>0.977442672435895</c:v>
                </c:pt>
                <c:pt idx="40">
                  <c:v>0.93763800025172162</c:v>
                </c:pt>
                <c:pt idx="41">
                  <c:v>0.8295887560127061</c:v>
                </c:pt>
                <c:pt idx="42">
                  <c:v>0.80943236738120772</c:v>
                </c:pt>
                <c:pt idx="43">
                  <c:v>0.98568889155918837</c:v>
                </c:pt>
                <c:pt idx="44">
                  <c:v>0.98489643409680294</c:v>
                </c:pt>
                <c:pt idx="45">
                  <c:v>0.96562107170289779</c:v>
                </c:pt>
                <c:pt idx="46">
                  <c:v>0.93696674216593623</c:v>
                </c:pt>
                <c:pt idx="47">
                  <c:v>1.0310221199221214</c:v>
                </c:pt>
                <c:pt idx="48">
                  <c:v>1.0087960188594516</c:v>
                </c:pt>
                <c:pt idx="49">
                  <c:v>0.97798573887335327</c:v>
                </c:pt>
                <c:pt idx="50">
                  <c:v>1.0418088644395331</c:v>
                </c:pt>
                <c:pt idx="51">
                  <c:v>1.0432865645311578</c:v>
                </c:pt>
                <c:pt idx="52">
                  <c:v>1.1009401756769424</c:v>
                </c:pt>
                <c:pt idx="53">
                  <c:v>1.1813769388663091</c:v>
                </c:pt>
                <c:pt idx="54">
                  <c:v>1.2881908817669003</c:v>
                </c:pt>
                <c:pt idx="55">
                  <c:v>1.2677454792373553</c:v>
                </c:pt>
                <c:pt idx="56">
                  <c:v>1.1278044836518095</c:v>
                </c:pt>
                <c:pt idx="57">
                  <c:v>1.1437538554609381</c:v>
                </c:pt>
                <c:pt idx="58">
                  <c:v>0.99234786500046857</c:v>
                </c:pt>
                <c:pt idx="59">
                  <c:v>1.0892584203784839</c:v>
                </c:pt>
                <c:pt idx="60">
                  <c:v>1.0129890511383677</c:v>
                </c:pt>
                <c:pt idx="61">
                  <c:v>1.2278778766076397</c:v>
                </c:pt>
                <c:pt idx="62">
                  <c:v>1.1409010085963505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120-4A19-9175-0823DC30B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637392"/>
        <c:axId val="1988632496"/>
      </c:lineChart>
      <c:catAx>
        <c:axId val="198863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2496"/>
        <c:crosses val="autoZero"/>
        <c:auto val="1"/>
        <c:lblAlgn val="ctr"/>
        <c:lblOffset val="100"/>
        <c:noMultiLvlLbl val="0"/>
      </c:catAx>
      <c:valAx>
        <c:axId val="1988632496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7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215622885951599"/>
          <c:y val="0.86663689304076197"/>
          <c:w val="0.78030535951284896"/>
          <c:h val="0.1060067931255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 Atlantic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South_Figure!$Q$5</c:f>
              <c:strCache>
                <c:ptCount val="1"/>
                <c:pt idx="0">
                  <c:v>BRA-URY LL_withVessel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7"/>
            <c:marker>
              <c:symbol val="square"/>
              <c:size val="3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23E-4D36-BA51-90349FC4D648}"/>
              </c:ext>
            </c:extLst>
          </c:dPt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South_Figure!$Q$6:$Q$68</c:f>
              <c:numCache>
                <c:formatCode>General</c:formatCode>
                <c:ptCount val="63"/>
                <c:pt idx="32">
                  <c:v>0.84762730098015782</c:v>
                </c:pt>
                <c:pt idx="33">
                  <c:v>1.1690772173081521</c:v>
                </c:pt>
                <c:pt idx="34">
                  <c:v>1.1264642601004065</c:v>
                </c:pt>
                <c:pt idx="35">
                  <c:v>1.1033050442266317</c:v>
                </c:pt>
                <c:pt idx="36">
                  <c:v>1.1570344250537894</c:v>
                </c:pt>
                <c:pt idx="37">
                  <c:v>0.95601243126942392</c:v>
                </c:pt>
                <c:pt idx="38">
                  <c:v>0.96527611761893384</c:v>
                </c:pt>
                <c:pt idx="39">
                  <c:v>0.86152283050442269</c:v>
                </c:pt>
                <c:pt idx="40">
                  <c:v>0.74387401386564678</c:v>
                </c:pt>
                <c:pt idx="41">
                  <c:v>0.97824527850824772</c:v>
                </c:pt>
                <c:pt idx="42">
                  <c:v>0.94211690174515894</c:v>
                </c:pt>
                <c:pt idx="43">
                  <c:v>1.0606920870188861</c:v>
                </c:pt>
                <c:pt idx="44">
                  <c:v>1.0755139851781019</c:v>
                </c:pt>
                <c:pt idx="45">
                  <c:v>1.2079846999760937</c:v>
                </c:pt>
                <c:pt idx="46">
                  <c:v>1.1172005737508965</c:v>
                </c:pt>
                <c:pt idx="47">
                  <c:v>0.98102438441310058</c:v>
                </c:pt>
                <c:pt idx="48">
                  <c:v>1.0579129811140329</c:v>
                </c:pt>
                <c:pt idx="49">
                  <c:v>0.99399354530241457</c:v>
                </c:pt>
                <c:pt idx="50">
                  <c:v>1.0227109729858954</c:v>
                </c:pt>
                <c:pt idx="51">
                  <c:v>1.175561797752809</c:v>
                </c:pt>
                <c:pt idx="52">
                  <c:v>1.2079846999760937</c:v>
                </c:pt>
                <c:pt idx="53">
                  <c:v>1.2561558689935455</c:v>
                </c:pt>
                <c:pt idx="54">
                  <c:v>1.1524025818790342</c:v>
                </c:pt>
                <c:pt idx="55">
                  <c:v>1.0866304087975138</c:v>
                </c:pt>
                <c:pt idx="56">
                  <c:v>1.0857040401625628</c:v>
                </c:pt>
                <c:pt idx="57">
                  <c:v>0.95045421945971797</c:v>
                </c:pt>
                <c:pt idx="58">
                  <c:v>0.83465814009084394</c:v>
                </c:pt>
                <c:pt idx="59">
                  <c:v>0.78000239062873533</c:v>
                </c:pt>
                <c:pt idx="60">
                  <c:v>0.79297155151804921</c:v>
                </c:pt>
                <c:pt idx="61">
                  <c:v>0.76518049246951947</c:v>
                </c:pt>
                <c:pt idx="62">
                  <c:v>0.5447047573511834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3E-4D36-BA51-90349FC4D648}"/>
            </c:ext>
          </c:extLst>
        </c:ser>
        <c:ser>
          <c:idx val="1"/>
          <c:order val="1"/>
          <c:tx>
            <c:strRef>
              <c:f>South_Figure!$X$5</c:f>
              <c:strCache>
                <c:ptCount val="1"/>
                <c:pt idx="0">
                  <c:v>URY LL hist*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South_Figure!$X$6:$X$68</c:f>
              <c:numCache>
                <c:formatCode>General</c:formatCode>
                <c:ptCount val="63"/>
                <c:pt idx="20">
                  <c:v>2.4295602172292621</c:v>
                </c:pt>
                <c:pt idx="21">
                  <c:v>1.3435203918645511</c:v>
                </c:pt>
                <c:pt idx="22">
                  <c:v>0.93419231178788198</c:v>
                </c:pt>
                <c:pt idx="23">
                  <c:v>0.5116601000958364</c:v>
                </c:pt>
                <c:pt idx="24">
                  <c:v>0.62389521882653609</c:v>
                </c:pt>
                <c:pt idx="25">
                  <c:v>1.2741987008838249</c:v>
                </c:pt>
                <c:pt idx="26">
                  <c:v>0.89788094984559685</c:v>
                </c:pt>
                <c:pt idx="27">
                  <c:v>1.1454584176339049</c:v>
                </c:pt>
                <c:pt idx="28">
                  <c:v>0.89127888403790867</c:v>
                </c:pt>
                <c:pt idx="29">
                  <c:v>0.89127888403790867</c:v>
                </c:pt>
                <c:pt idx="30">
                  <c:v>0.62389521882653609</c:v>
                </c:pt>
                <c:pt idx="31">
                  <c:v>1.5283782344798211</c:v>
                </c:pt>
                <c:pt idx="32">
                  <c:v>1.1025449898839315</c:v>
                </c:pt>
                <c:pt idx="33">
                  <c:v>1.650516451922053</c:v>
                </c:pt>
                <c:pt idx="34">
                  <c:v>1.3732296879991481</c:v>
                </c:pt>
                <c:pt idx="35">
                  <c:v>1.4920668725375359</c:v>
                </c:pt>
                <c:pt idx="36">
                  <c:v>1.1454584176339049</c:v>
                </c:pt>
                <c:pt idx="37">
                  <c:v>1.0893408582685551</c:v>
                </c:pt>
                <c:pt idx="38">
                  <c:v>1.2411883718453838</c:v>
                </c:pt>
                <c:pt idx="39">
                  <c:v>1.1025449898839315</c:v>
                </c:pt>
                <c:pt idx="40">
                  <c:v>0.62059418592269189</c:v>
                </c:pt>
                <c:pt idx="41">
                  <c:v>0.63709935044191246</c:v>
                </c:pt>
                <c:pt idx="42">
                  <c:v>1.029922265999361</c:v>
                </c:pt>
                <c:pt idx="43">
                  <c:v>0.82525822596102649</c:v>
                </c:pt>
                <c:pt idx="44">
                  <c:v>1.0002129698647642</c:v>
                </c:pt>
                <c:pt idx="45">
                  <c:v>0.93749334469172607</c:v>
                </c:pt>
                <c:pt idx="46">
                  <c:v>0.58428282398040676</c:v>
                </c:pt>
                <c:pt idx="47">
                  <c:v>0.69321690980726225</c:v>
                </c:pt>
                <c:pt idx="48">
                  <c:v>0.68001277819188588</c:v>
                </c:pt>
                <c:pt idx="49">
                  <c:v>0.30039399424981367</c:v>
                </c:pt>
                <c:pt idx="50">
                  <c:v>0.39942498136513682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3E-4D36-BA51-90349FC4D648}"/>
            </c:ext>
          </c:extLst>
        </c:ser>
        <c:ser>
          <c:idx val="3"/>
          <c:order val="2"/>
          <c:tx>
            <c:strRef>
              <c:f>South_Figure!$Y$5</c:f>
              <c:strCache>
                <c:ptCount val="1"/>
                <c:pt idx="0">
                  <c:v>URY LL*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South_Figure!$O$6:$O$68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cat>
          <c:val>
            <c:numRef>
              <c:f>South_Figure!$Y$6:$Y$68</c:f>
              <c:numCache>
                <c:formatCode>General</c:formatCode>
                <c:ptCount val="63"/>
                <c:pt idx="39">
                  <c:v>1.417564360051123</c:v>
                </c:pt>
                <c:pt idx="40">
                  <c:v>0.9048749315318606</c:v>
                </c:pt>
                <c:pt idx="41">
                  <c:v>1.3518349461383972</c:v>
                </c:pt>
                <c:pt idx="42">
                  <c:v>1.1436918020814315</c:v>
                </c:pt>
                <c:pt idx="43">
                  <c:v>1.1415008216176741</c:v>
                </c:pt>
                <c:pt idx="44">
                  <c:v>1.2050392550666424</c:v>
                </c:pt>
                <c:pt idx="45">
                  <c:v>1.0867263100237357</c:v>
                </c:pt>
                <c:pt idx="46">
                  <c:v>0.70768668979368277</c:v>
                </c:pt>
                <c:pt idx="47">
                  <c:v>0.76903414277889359</c:v>
                </c:pt>
                <c:pt idx="48">
                  <c:v>0.72083257257622801</c:v>
                </c:pt>
                <c:pt idx="49">
                  <c:v>0.43819609275150634</c:v>
                </c:pt>
                <c:pt idx="50">
                  <c:v>1.1130180755888262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3E-4D36-BA51-90349FC4D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634672"/>
        <c:axId val="1988629232"/>
      </c:lineChart>
      <c:catAx>
        <c:axId val="198863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29232"/>
        <c:crosses val="autoZero"/>
        <c:auto val="1"/>
        <c:lblAlgn val="ctr"/>
        <c:lblOffset val="100"/>
        <c:noMultiLvlLbl val="0"/>
      </c:catAx>
      <c:valAx>
        <c:axId val="1988629232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LL: East 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02619996611712"/>
          <c:y val="0.16910761334830152"/>
          <c:w val="0.82750852358752225"/>
          <c:h val="0.50759317212255195"/>
        </c:manualLayout>
      </c:layout>
      <c:lineChart>
        <c:grouping val="standard"/>
        <c:varyColors val="0"/>
        <c:ser>
          <c:idx val="2"/>
          <c:order val="0"/>
          <c:tx>
            <c:strRef>
              <c:f>Med_Figure!$O$5</c:f>
              <c:strCache>
                <c:ptCount val="1"/>
                <c:pt idx="0">
                  <c:v>GRC_LL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Med_Figure!$O$6:$O$43</c:f>
              <c:numCache>
                <c:formatCode>General</c:formatCode>
                <c:ptCount val="38"/>
                <c:pt idx="0">
                  <c:v>1.0922839628238084</c:v>
                </c:pt>
                <c:pt idx="1">
                  <c:v>1.2823065058334979</c:v>
                </c:pt>
                <c:pt idx="2">
                  <c:v>1.4863357721969546</c:v>
                </c:pt>
                <c:pt idx="3">
                  <c:v>1.120778327071386</c:v>
                </c:pt>
                <c:pt idx="4">
                  <c:v>1.3764461142970139</c:v>
                </c:pt>
                <c:pt idx="5">
                  <c:v>0.60240933359699422</c:v>
                </c:pt>
                <c:pt idx="6">
                  <c:v>0.91157919715246183</c:v>
                </c:pt>
                <c:pt idx="7">
                  <c:v>1.0562151473205457</c:v>
                </c:pt>
                <c:pt idx="8">
                  <c:v>0.72125608068024516</c:v>
                </c:pt>
                <c:pt idx="9">
                  <c:v>1.0922839628238084</c:v>
                </c:pt>
                <c:pt idx="10">
                  <c:v>1.5436250741546369</c:v>
                </c:pt>
                <c:pt idx="11">
                  <c:v>1.4369214949574847</c:v>
                </c:pt>
                <c:pt idx="12">
                  <c:v>1.2526699624283171</c:v>
                </c:pt>
                <c:pt idx="13">
                  <c:v>1.0310270911607671</c:v>
                </c:pt>
                <c:pt idx="14">
                  <c:v>1.0504441368400237</c:v>
                </c:pt>
                <c:pt idx="15">
                  <c:v>0.86036147913782868</c:v>
                </c:pt>
                <c:pt idx="16">
                  <c:v>1.0274202096104408</c:v>
                </c:pt>
                <c:pt idx="17">
                  <c:v>1.0350547755586315</c:v>
                </c:pt>
                <c:pt idx="18">
                  <c:v>1.0264583745303539</c:v>
                </c:pt>
                <c:pt idx="19">
                  <c:v>1.0851904291081669</c:v>
                </c:pt>
                <c:pt idx="20">
                  <c:v>1.1049080482499505</c:v>
                </c:pt>
                <c:pt idx="21">
                  <c:v>1.0335519082459956</c:v>
                </c:pt>
                <c:pt idx="22">
                  <c:v>0.95714613407158389</c:v>
                </c:pt>
                <c:pt idx="23">
                  <c:v>1.0731073759145737</c:v>
                </c:pt>
                <c:pt idx="24">
                  <c:v>0.89637017994858614</c:v>
                </c:pt>
                <c:pt idx="25">
                  <c:v>0.82946252719003344</c:v>
                </c:pt>
                <c:pt idx="26">
                  <c:v>1.3092980027684398</c:v>
                </c:pt>
                <c:pt idx="27">
                  <c:v>1.031568123393316</c:v>
                </c:pt>
                <c:pt idx="28">
                  <c:v>0.89132054577812936</c:v>
                </c:pt>
                <c:pt idx="29">
                  <c:v>0.99321494957484668</c:v>
                </c:pt>
                <c:pt idx="30">
                  <c:v>0.65284556060905663</c:v>
                </c:pt>
                <c:pt idx="31">
                  <c:v>0.74313782875222456</c:v>
                </c:pt>
                <c:pt idx="32">
                  <c:v>0.77097093138224237</c:v>
                </c:pt>
                <c:pt idx="33">
                  <c:v>0.83433181728297401</c:v>
                </c:pt>
                <c:pt idx="34">
                  <c:v>0.85988056159778514</c:v>
                </c:pt>
                <c:pt idx="35">
                  <c:v>0.54830611034209997</c:v>
                </c:pt>
                <c:pt idx="36">
                  <c:v>0.66571010480522042</c:v>
                </c:pt>
                <c:pt idx="37">
                  <c:v>0.71380185880957081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A-4FA3-A36A-581CB4AAA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637936"/>
        <c:axId val="1988634128"/>
      </c:lineChart>
      <c:catAx>
        <c:axId val="198863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4128"/>
        <c:crosses val="autoZero"/>
        <c:auto val="1"/>
        <c:lblAlgn val="ctr"/>
        <c:lblOffset val="100"/>
        <c:noMultiLvlLbl val="0"/>
      </c:catAx>
      <c:valAx>
        <c:axId val="1988634128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15622885951599"/>
          <c:y val="0.86663689304076197"/>
          <c:w val="0.78030535951284896"/>
          <c:h val="0.1060067931255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LL:</a:t>
            </a:r>
            <a:r>
              <a:rPr lang="en-US" baseline="0"/>
              <a:t> </a:t>
            </a:r>
            <a:r>
              <a:rPr lang="en-US"/>
              <a:t>West Med (number)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002619996611712"/>
          <c:y val="0.16910761334830152"/>
          <c:w val="0.82750852358752225"/>
          <c:h val="0.50759317212255195"/>
        </c:manualLayout>
      </c:layout>
      <c:lineChart>
        <c:grouping val="standard"/>
        <c:varyColors val="0"/>
        <c:ser>
          <c:idx val="6"/>
          <c:order val="0"/>
          <c:tx>
            <c:strRef>
              <c:f>Med_Figure!$T$5</c:f>
              <c:strCache>
                <c:ptCount val="1"/>
                <c:pt idx="0">
                  <c:v>n_SPN LL</c:v>
                </c:pt>
              </c:strCache>
            </c:strRef>
          </c:tx>
          <c:spPr>
            <a:ln w="25400"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none"/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Med_Figure!$T$6:$T$43</c:f>
              <c:numCache>
                <c:formatCode>General</c:formatCode>
                <c:ptCount val="38"/>
                <c:pt idx="1">
                  <c:v>1.7196065232677686</c:v>
                </c:pt>
                <c:pt idx="2">
                  <c:v>0.60087218804731624</c:v>
                </c:pt>
                <c:pt idx="3">
                  <c:v>0.68141064736622226</c:v>
                </c:pt>
                <c:pt idx="4">
                  <c:v>1.0690248339992863</c:v>
                </c:pt>
                <c:pt idx="5">
                  <c:v>1.2089105001306346</c:v>
                </c:pt>
                <c:pt idx="6">
                  <c:v>1.2036309679326822</c:v>
                </c:pt>
                <c:pt idx="7">
                  <c:v>1.5154158624704988</c:v>
                </c:pt>
                <c:pt idx="8">
                  <c:v>1.2802499961461826</c:v>
                </c:pt>
                <c:pt idx="9">
                  <c:v>0.87450112827915394</c:v>
                </c:pt>
                <c:pt idx="10">
                  <c:v>0.83975273907600889</c:v>
                </c:pt>
                <c:pt idx="11">
                  <c:v>1.0366602778938316</c:v>
                </c:pt>
                <c:pt idx="12">
                  <c:v>0.82100381863895833</c:v>
                </c:pt>
                <c:pt idx="13">
                  <c:v>0.6813813978803609</c:v>
                </c:pt>
                <c:pt idx="14">
                  <c:v>0.89208006928175532</c:v>
                </c:pt>
                <c:pt idx="15">
                  <c:v>1.651952462470736</c:v>
                </c:pt>
                <c:pt idx="16">
                  <c:v>1.0348468097704351</c:v>
                </c:pt>
                <c:pt idx="17">
                  <c:v>0.74260057178792238</c:v>
                </c:pt>
                <c:pt idx="18">
                  <c:v>0.91773186838205689</c:v>
                </c:pt>
                <c:pt idx="19">
                  <c:v>1.02523835366502</c:v>
                </c:pt>
                <c:pt idx="20">
                  <c:v>1.3644592659406736</c:v>
                </c:pt>
                <c:pt idx="21">
                  <c:v>1.2719723916474537</c:v>
                </c:pt>
                <c:pt idx="22">
                  <c:v>0.73095927641515146</c:v>
                </c:pt>
                <c:pt idx="23">
                  <c:v>0.80693481593970506</c:v>
                </c:pt>
                <c:pt idx="24">
                  <c:v>0.91341756921752504</c:v>
                </c:pt>
                <c:pt idx="25">
                  <c:v>1.2449166172258128</c:v>
                </c:pt>
                <c:pt idx="26">
                  <c:v>0.97273552654410622</c:v>
                </c:pt>
                <c:pt idx="27">
                  <c:v>1.0020727608629232</c:v>
                </c:pt>
                <c:pt idx="28">
                  <c:v>0.99803633181407303</c:v>
                </c:pt>
                <c:pt idx="29">
                  <c:v>1.0052317053359363</c:v>
                </c:pt>
                <c:pt idx="30">
                  <c:v>0.94075121375484749</c:v>
                </c:pt>
                <c:pt idx="31">
                  <c:v>0.75178491034834971</c:v>
                </c:pt>
                <c:pt idx="32">
                  <c:v>0.700115693574481</c:v>
                </c:pt>
                <c:pt idx="33">
                  <c:v>0.75117067114526381</c:v>
                </c:pt>
                <c:pt idx="34">
                  <c:v>0.97308652037444099</c:v>
                </c:pt>
                <c:pt idx="35">
                  <c:v>0.89437615392186209</c:v>
                </c:pt>
                <c:pt idx="36">
                  <c:v>0.88919899492442378</c:v>
                </c:pt>
                <c:pt idx="37">
                  <c:v>0.99190856452614462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5-4FFC-95ED-A13B2A3F0072}"/>
            </c:ext>
          </c:extLst>
        </c:ser>
        <c:ser>
          <c:idx val="4"/>
          <c:order val="1"/>
          <c:tx>
            <c:strRef>
              <c:f>Med_Figure!$R$5</c:f>
              <c:strCache>
                <c:ptCount val="1"/>
                <c:pt idx="0">
                  <c:v>n_LIG_LL*</c:v>
                </c:pt>
              </c:strCache>
            </c:strRef>
          </c:tx>
          <c:spPr>
            <a:ln w="254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Med_Figure!$R$6:$R$43</c:f>
              <c:numCache>
                <c:formatCode>General</c:formatCode>
                <c:ptCount val="38"/>
                <c:pt idx="23">
                  <c:v>1.3942361188383221</c:v>
                </c:pt>
                <c:pt idx="24">
                  <c:v>1.1979525981973964</c:v>
                </c:pt>
                <c:pt idx="25">
                  <c:v>0.94714587737843559</c:v>
                </c:pt>
                <c:pt idx="26">
                  <c:v>0.91910537442973195</c:v>
                </c:pt>
                <c:pt idx="27">
                  <c:v>1.4954934905975299</c:v>
                </c:pt>
                <c:pt idx="28">
                  <c:v>0.83498386558362092</c:v>
                </c:pt>
                <c:pt idx="29">
                  <c:v>1.1995104039167688</c:v>
                </c:pt>
                <c:pt idx="30">
                  <c:v>1.0063424947145878</c:v>
                </c:pt>
                <c:pt idx="31">
                  <c:v>0.64181595638143996</c:v>
                </c:pt>
                <c:pt idx="32">
                  <c:v>0.89418048291977315</c:v>
                </c:pt>
                <c:pt idx="33">
                  <c:v>1.1107154779125405</c:v>
                </c:pt>
                <c:pt idx="34">
                  <c:v>0.65272059641704694</c:v>
                </c:pt>
                <c:pt idx="35">
                  <c:v>0.80382775119617234</c:v>
                </c:pt>
                <c:pt idx="36">
                  <c:v>0.90196951151663529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5-4FFC-95ED-A13B2A3F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630864"/>
        <c:axId val="1988631952"/>
      </c:lineChart>
      <c:catAx>
        <c:axId val="1988630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1952"/>
        <c:crosses val="autoZero"/>
        <c:auto val="1"/>
        <c:lblAlgn val="ctr"/>
        <c:lblOffset val="100"/>
        <c:noMultiLvlLbl val="0"/>
      </c:catAx>
      <c:valAx>
        <c:axId val="1988631952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308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215622885951599"/>
          <c:y val="0.86663689304076197"/>
          <c:w val="0.78030535951284896"/>
          <c:h val="0.1060067931255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LL: West Med (weight)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Med_Figure!$P$5</c:f>
              <c:strCache>
                <c:ptCount val="1"/>
                <c:pt idx="0">
                  <c:v>w_LIG_LL_early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Med_Figure!$P$6:$P$43</c:f>
              <c:numCache>
                <c:formatCode>General</c:formatCode>
                <c:ptCount val="38"/>
                <c:pt idx="4">
                  <c:v>0.71956446501068561</c:v>
                </c:pt>
                <c:pt idx="5">
                  <c:v>0.53763626407639209</c:v>
                </c:pt>
                <c:pt idx="6">
                  <c:v>0.55929843127842793</c:v>
                </c:pt>
                <c:pt idx="7">
                  <c:v>0.73687786506085695</c:v>
                </c:pt>
                <c:pt idx="8">
                  <c:v>0.76958720370286937</c:v>
                </c:pt>
                <c:pt idx="9">
                  <c:v>0.76736611438251623</c:v>
                </c:pt>
                <c:pt idx="10">
                  <c:v>0.82206263002878366</c:v>
                </c:pt>
                <c:pt idx="11">
                  <c:v>1.1788704127273948</c:v>
                </c:pt>
                <c:pt idx="12">
                  <c:v>0.82878861221555633</c:v>
                </c:pt>
                <c:pt idx="13">
                  <c:v>1.0954484807281957</c:v>
                </c:pt>
                <c:pt idx="14">
                  <c:v>1.4772747952956535</c:v>
                </c:pt>
                <c:pt idx="15">
                  <c:v>1.1413562589029926</c:v>
                </c:pt>
                <c:pt idx="16">
                  <c:v>1.2385803439256886</c:v>
                </c:pt>
                <c:pt idx="17">
                  <c:v>0.80407699752415651</c:v>
                </c:pt>
                <c:pt idx="18">
                  <c:v>0.65721137873089053</c:v>
                </c:pt>
                <c:pt idx="19">
                  <c:v>1.017099156204186</c:v>
                </c:pt>
                <c:pt idx="20">
                  <c:v>1.9520755771942366</c:v>
                </c:pt>
                <c:pt idx="21">
                  <c:v>1.693232667110012</c:v>
                </c:pt>
                <c:pt idx="22">
                  <c:v>1.0035923459004994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1-4B34-B88F-02A4A2314550}"/>
            </c:ext>
          </c:extLst>
        </c:ser>
        <c:ser>
          <c:idx val="2"/>
          <c:order val="1"/>
          <c:tx>
            <c:strRef>
              <c:f>Med_Figure!$Q$5</c:f>
              <c:strCache>
                <c:ptCount val="1"/>
                <c:pt idx="0">
                  <c:v>w_LIG_LL*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7"/>
            <c:marker>
              <c:symbol val="square"/>
              <c:size val="4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221-4B34-B88F-02A4A2314550}"/>
              </c:ext>
            </c:extLst>
          </c:dPt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Med_Figure!$Q$6:$Q$43</c:f>
              <c:numCache>
                <c:formatCode>General</c:formatCode>
                <c:ptCount val="38"/>
                <c:pt idx="23">
                  <c:v>1.7617325012145448</c:v>
                </c:pt>
                <c:pt idx="24">
                  <c:v>1.2918046264808103</c:v>
                </c:pt>
                <c:pt idx="25">
                  <c:v>0.81758660637542524</c:v>
                </c:pt>
                <c:pt idx="26">
                  <c:v>0.89815762920886433</c:v>
                </c:pt>
                <c:pt idx="27">
                  <c:v>1.2835382488134834</c:v>
                </c:pt>
                <c:pt idx="28">
                  <c:v>0.83181733248626644</c:v>
                </c:pt>
                <c:pt idx="29">
                  <c:v>1.0349714114877238</c:v>
                </c:pt>
                <c:pt idx="30">
                  <c:v>0.94158227138532835</c:v>
                </c:pt>
                <c:pt idx="31">
                  <c:v>0.63337194962442545</c:v>
                </c:pt>
                <c:pt idx="32">
                  <c:v>0.9232706752868195</c:v>
                </c:pt>
                <c:pt idx="33">
                  <c:v>1.095242722074816</c:v>
                </c:pt>
                <c:pt idx="34">
                  <c:v>0.65801412608841892</c:v>
                </c:pt>
                <c:pt idx="35">
                  <c:v>0.87487574274076019</c:v>
                </c:pt>
                <c:pt idx="36">
                  <c:v>0.9540341567323144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1-4B34-B88F-02A4A2314550}"/>
            </c:ext>
          </c:extLst>
        </c:ser>
        <c:ser>
          <c:idx val="1"/>
          <c:order val="2"/>
          <c:tx>
            <c:strRef>
              <c:f>Med_Figure!$U$5</c:f>
              <c:strCache>
                <c:ptCount val="1"/>
                <c:pt idx="0">
                  <c:v>w_SPN LL</c:v>
                </c:pt>
              </c:strCache>
            </c:strRef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Med_Figure!$U$6:$U$43</c:f>
              <c:numCache>
                <c:formatCode>General</c:formatCode>
                <c:ptCount val="38"/>
                <c:pt idx="1">
                  <c:v>1.3047117997353264</c:v>
                </c:pt>
                <c:pt idx="2">
                  <c:v>1.1710817103061641</c:v>
                </c:pt>
                <c:pt idx="3">
                  <c:v>1.2397730234381754</c:v>
                </c:pt>
                <c:pt idx="4">
                  <c:v>0.87996785827935509</c:v>
                </c:pt>
                <c:pt idx="5">
                  <c:v>0.75343288446656387</c:v>
                </c:pt>
                <c:pt idx="6">
                  <c:v>0.99479670312325907</c:v>
                </c:pt>
                <c:pt idx="7">
                  <c:v>1.2170751478507906</c:v>
                </c:pt>
                <c:pt idx="8">
                  <c:v>0.95630225076241149</c:v>
                </c:pt>
                <c:pt idx="9">
                  <c:v>0.81975374707228177</c:v>
                </c:pt>
                <c:pt idx="10">
                  <c:v>0.83811966491277146</c:v>
                </c:pt>
                <c:pt idx="11">
                  <c:v>0.94371430607976192</c:v>
                </c:pt>
                <c:pt idx="12">
                  <c:v>0.87141860927078407</c:v>
                </c:pt>
                <c:pt idx="13">
                  <c:v>1.2329052112969281</c:v>
                </c:pt>
                <c:pt idx="14">
                  <c:v>0.8485867869927014</c:v>
                </c:pt>
                <c:pt idx="15">
                  <c:v>1.2715539053016096</c:v>
                </c:pt>
                <c:pt idx="16">
                  <c:v>0.8197496880816546</c:v>
                </c:pt>
                <c:pt idx="17">
                  <c:v>0.61000743590627549</c:v>
                </c:pt>
                <c:pt idx="18">
                  <c:v>0.82912088269223638</c:v>
                </c:pt>
                <c:pt idx="19">
                  <c:v>1.1020098668028515</c:v>
                </c:pt>
                <c:pt idx="20">
                  <c:v>1.2033598185214323</c:v>
                </c:pt>
                <c:pt idx="21">
                  <c:v>1.5563468941741887</c:v>
                </c:pt>
                <c:pt idx="22">
                  <c:v>1.0048782210936036</c:v>
                </c:pt>
                <c:pt idx="23">
                  <c:v>1.0776599820301904</c:v>
                </c:pt>
                <c:pt idx="24">
                  <c:v>1.0350263739772407</c:v>
                </c:pt>
                <c:pt idx="25">
                  <c:v>1.3703903270742879</c:v>
                </c:pt>
                <c:pt idx="26">
                  <c:v>0.90570084410823948</c:v>
                </c:pt>
                <c:pt idx="27">
                  <c:v>0.97857393233393863</c:v>
                </c:pt>
                <c:pt idx="28">
                  <c:v>0.87397983235655652</c:v>
                </c:pt>
                <c:pt idx="29">
                  <c:v>0.71640372772214089</c:v>
                </c:pt>
                <c:pt idx="30">
                  <c:v>1.2646637687119127</c:v>
                </c:pt>
                <c:pt idx="31">
                  <c:v>1.0851752031764785</c:v>
                </c:pt>
                <c:pt idx="32">
                  <c:v>0.80373595530963571</c:v>
                </c:pt>
                <c:pt idx="33">
                  <c:v>0.79041739231408747</c:v>
                </c:pt>
                <c:pt idx="34">
                  <c:v>0.94985454415108106</c:v>
                </c:pt>
                <c:pt idx="35">
                  <c:v>0.93231057191260225</c:v>
                </c:pt>
                <c:pt idx="36">
                  <c:v>1.0086338021714338</c:v>
                </c:pt>
                <c:pt idx="37">
                  <c:v>0.73880732648905245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21-4B34-B88F-02A4A2314550}"/>
            </c:ext>
          </c:extLst>
        </c:ser>
        <c:ser>
          <c:idx val="3"/>
          <c:order val="3"/>
          <c:tx>
            <c:strRef>
              <c:f>Med_Figure!$V$5</c:f>
              <c:strCache>
                <c:ptCount val="1"/>
                <c:pt idx="0">
                  <c:v>MOR_LL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Med_Figure!$V$6:$V$43</c:f>
              <c:numCache>
                <c:formatCode>General</c:formatCode>
                <c:ptCount val="38"/>
                <c:pt idx="25">
                  <c:v>1.496164099239423</c:v>
                </c:pt>
                <c:pt idx="26">
                  <c:v>2.0956732902387674</c:v>
                </c:pt>
                <c:pt idx="27">
                  <c:v>1.0396009855923309</c:v>
                </c:pt>
                <c:pt idx="28">
                  <c:v>1.1864381799764789</c:v>
                </c:pt>
                <c:pt idx="29">
                  <c:v>1.1748482484022211</c:v>
                </c:pt>
                <c:pt idx="30">
                  <c:v>0.77261949820570397</c:v>
                </c:pt>
                <c:pt idx="31">
                  <c:v>0.85611436630091453</c:v>
                </c:pt>
                <c:pt idx="32">
                  <c:v>0.63433011381589766</c:v>
                </c:pt>
                <c:pt idx="33">
                  <c:v>0.72201479464877216</c:v>
                </c:pt>
                <c:pt idx="34">
                  <c:v>0.74481523352239343</c:v>
                </c:pt>
                <c:pt idx="35">
                  <c:v>0.77196425131962743</c:v>
                </c:pt>
                <c:pt idx="36">
                  <c:v>0.74520542160650471</c:v>
                </c:pt>
                <c:pt idx="37">
                  <c:v>0.76021151713096458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21-4B34-B88F-02A4A2314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034496"/>
        <c:axId val="2029027424"/>
      </c:lineChart>
      <c:catAx>
        <c:axId val="20290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7424"/>
        <c:crosses val="autoZero"/>
        <c:auto val="1"/>
        <c:lblAlgn val="ctr"/>
        <c:lblOffset val="100"/>
        <c:noMultiLvlLbl val="0"/>
      </c:catAx>
      <c:valAx>
        <c:axId val="2029027424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Gillnet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02619996611712"/>
          <c:y val="0.16910761334830152"/>
          <c:w val="0.82750852358752225"/>
          <c:h val="0.50759317212255195"/>
        </c:manualLayout>
      </c:layout>
      <c:lineChart>
        <c:grouping val="standard"/>
        <c:varyColors val="0"/>
        <c:ser>
          <c:idx val="2"/>
          <c:order val="0"/>
          <c:tx>
            <c:strRef>
              <c:f>Med_Figure!$W$5</c:f>
              <c:strCache>
                <c:ptCount val="1"/>
                <c:pt idx="0">
                  <c:v>SIC_GN</c:v>
                </c:pt>
              </c:strCache>
            </c:strRef>
          </c:tx>
          <c:spPr>
            <a:ln w="25400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cat>
            <c:numRef>
              <c:f>Med_Figure!$N$6:$N$43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cat>
          <c:val>
            <c:numRef>
              <c:f>Med_Figure!$W$6:$W$43</c:f>
              <c:numCache>
                <c:formatCode>General</c:formatCode>
                <c:ptCount val="38"/>
                <c:pt idx="3">
                  <c:v>0.67412674174460774</c:v>
                </c:pt>
                <c:pt idx="4">
                  <c:v>0.79499904561939305</c:v>
                </c:pt>
                <c:pt idx="5">
                  <c:v>1.3685340713876695</c:v>
                </c:pt>
                <c:pt idx="6">
                  <c:v>1.0578354647833554</c:v>
                </c:pt>
                <c:pt idx="7">
                  <c:v>0.76985111662531014</c:v>
                </c:pt>
                <c:pt idx="8">
                  <c:v>1.1884424508493987</c:v>
                </c:pt>
                <c:pt idx="9">
                  <c:v>0.75687154037029958</c:v>
                </c:pt>
                <c:pt idx="10">
                  <c:v>1.138957816377171</c:v>
                </c:pt>
                <c:pt idx="11">
                  <c:v>0.82095819812941384</c:v>
                </c:pt>
                <c:pt idx="12">
                  <c:v>1.0310650887573964</c:v>
                </c:pt>
                <c:pt idx="13">
                  <c:v>1.2103454857797289</c:v>
                </c:pt>
                <c:pt idx="14">
                  <c:v>1.0594579118152319</c:v>
                </c:pt>
                <c:pt idx="17">
                  <c:v>1.2290036266463065</c:v>
                </c:pt>
                <c:pt idx="18">
                  <c:v>0.97914678373735442</c:v>
                </c:pt>
                <c:pt idx="19">
                  <c:v>2.4937010879938915</c:v>
                </c:pt>
                <c:pt idx="21">
                  <c:v>0.26689253674365337</c:v>
                </c:pt>
                <c:pt idx="22">
                  <c:v>0.15981103263981675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B-45BB-A36C-FEFAFBD3F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9033952"/>
        <c:axId val="2029027968"/>
      </c:lineChart>
      <c:catAx>
        <c:axId val="202903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7968"/>
        <c:crosses val="autoZero"/>
        <c:auto val="1"/>
        <c:lblAlgn val="ctr"/>
        <c:lblOffset val="100"/>
        <c:noMultiLvlLbl val="0"/>
      </c:catAx>
      <c:valAx>
        <c:axId val="2029027968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15622885951599"/>
          <c:y val="0.86663689304076197"/>
          <c:w val="0.78030535951284896"/>
          <c:h val="0.1060067931255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EMed: GRC LL 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Comp2020vs2026!$U$6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Comp2020vs2026!$U$7:$U$44</c:f>
              <c:numCache>
                <c:formatCode>General</c:formatCode>
                <c:ptCount val="38"/>
                <c:pt idx="0">
                  <c:v>1.3580012650221378</c:v>
                </c:pt>
                <c:pt idx="1">
                  <c:v>1.5066413662239089</c:v>
                </c:pt>
                <c:pt idx="3">
                  <c:v>1.4832384566729919</c:v>
                </c:pt>
                <c:pt idx="4">
                  <c:v>2.0037950664136623</c:v>
                </c:pt>
                <c:pt idx="5">
                  <c:v>0.80581910183428218</c:v>
                </c:pt>
                <c:pt idx="6">
                  <c:v>1.3371283997469956</c:v>
                </c:pt>
                <c:pt idx="7">
                  <c:v>1.8874130297280203</c:v>
                </c:pt>
                <c:pt idx="8">
                  <c:v>1.1473750790638837</c:v>
                </c:pt>
                <c:pt idx="11">
                  <c:v>1.5825426944971537</c:v>
                </c:pt>
                <c:pt idx="12">
                  <c:v>1.0923466160657809</c:v>
                </c:pt>
                <c:pt idx="13">
                  <c:v>0.79633143580012655</c:v>
                </c:pt>
                <c:pt idx="14">
                  <c:v>0.8260594560404807</c:v>
                </c:pt>
                <c:pt idx="15">
                  <c:v>0.67868437697659711</c:v>
                </c:pt>
                <c:pt idx="16">
                  <c:v>0.81340923466160653</c:v>
                </c:pt>
                <c:pt idx="17">
                  <c:v>0.79443390259329538</c:v>
                </c:pt>
                <c:pt idx="18">
                  <c:v>0.8317520556609741</c:v>
                </c:pt>
                <c:pt idx="19">
                  <c:v>0.86337760910815942</c:v>
                </c:pt>
                <c:pt idx="20">
                  <c:v>0.88931056293485133</c:v>
                </c:pt>
                <c:pt idx="21">
                  <c:v>0.84756483238456681</c:v>
                </c:pt>
                <c:pt idx="22">
                  <c:v>0.77103099304237832</c:v>
                </c:pt>
                <c:pt idx="23">
                  <c:v>0.89437065148640105</c:v>
                </c:pt>
                <c:pt idx="24">
                  <c:v>0.73561037318153066</c:v>
                </c:pt>
                <c:pt idx="25">
                  <c:v>0.67362428842504751</c:v>
                </c:pt>
                <c:pt idx="26">
                  <c:v>1.0619860847564833</c:v>
                </c:pt>
                <c:pt idx="27">
                  <c:v>0.81214421252371927</c:v>
                </c:pt>
                <c:pt idx="28">
                  <c:v>0.73181530676786843</c:v>
                </c:pt>
                <c:pt idx="29">
                  <c:v>0.7938013915243517</c:v>
                </c:pt>
                <c:pt idx="30">
                  <c:v>0.44718532574320052</c:v>
                </c:pt>
                <c:pt idx="31">
                  <c:v>0.53320683111954448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25-4076-AD91-BF0BEAA4413F}"/>
            </c:ext>
          </c:extLst>
        </c:ser>
        <c:ser>
          <c:idx val="1"/>
          <c:order val="1"/>
          <c:tx>
            <c:strRef>
              <c:f>Comp2020vs2026!$V$6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Comp2020vs2026!$V$7:$V$44</c:f>
              <c:numCache>
                <c:formatCode>General</c:formatCode>
                <c:ptCount val="38"/>
                <c:pt idx="0">
                  <c:v>1.0400538057554984</c:v>
                </c:pt>
                <c:pt idx="1">
                  <c:v>1.2209899686610093</c:v>
                </c:pt>
                <c:pt idx="2">
                  <c:v>1.4152630901103302</c:v>
                </c:pt>
                <c:pt idx="3">
                  <c:v>1.0671856441665115</c:v>
                </c:pt>
                <c:pt idx="4">
                  <c:v>1.3106280677151156</c:v>
                </c:pt>
                <c:pt idx="5">
                  <c:v>0.57360369771468633</c:v>
                </c:pt>
                <c:pt idx="6">
                  <c:v>0.8679898684907198</c:v>
                </c:pt>
                <c:pt idx="7">
                  <c:v>1.0057097065010516</c:v>
                </c:pt>
                <c:pt idx="8">
                  <c:v>0.68676750475808868</c:v>
                </c:pt>
                <c:pt idx="9">
                  <c:v>1.0400538057554984</c:v>
                </c:pt>
                <c:pt idx="10">
                  <c:v>1.4698129677594765</c:v>
                </c:pt>
                <c:pt idx="11">
                  <c:v>1.3682116741317381</c:v>
                </c:pt>
                <c:pt idx="12">
                  <c:v>1.1927705671069389</c:v>
                </c:pt>
                <c:pt idx="13">
                  <c:v>0.98172607718836291</c:v>
                </c:pt>
                <c:pt idx="14">
                  <c:v>1.0002146506203402</c:v>
                </c:pt>
                <c:pt idx="15">
                  <c:v>0.8192212475494054</c:v>
                </c:pt>
                <c:pt idx="16">
                  <c:v>0.97829166726291827</c:v>
                </c:pt>
                <c:pt idx="17">
                  <c:v>0.98556116827177631</c:v>
                </c:pt>
                <c:pt idx="18">
                  <c:v>0.97737582461613304</c:v>
                </c:pt>
                <c:pt idx="19">
                  <c:v>1.0332994662354573</c:v>
                </c:pt>
                <c:pt idx="20">
                  <c:v>1.0520742404945551</c:v>
                </c:pt>
                <c:pt idx="21">
                  <c:v>0.98413016413617427</c:v>
                </c:pt>
                <c:pt idx="22">
                  <c:v>0.91137791388217104</c:v>
                </c:pt>
                <c:pt idx="23">
                  <c:v>1.0217941929852177</c:v>
                </c:pt>
                <c:pt idx="24">
                  <c:v>0.85350810663842824</c:v>
                </c:pt>
                <c:pt idx="25">
                  <c:v>0.78979980252142912</c:v>
                </c:pt>
                <c:pt idx="26">
                  <c:v>1.2466908029364205</c:v>
                </c:pt>
                <c:pt idx="27">
                  <c:v>0.98224123867717961</c:v>
                </c:pt>
                <c:pt idx="28">
                  <c:v>0.84869993274280564</c:v>
                </c:pt>
                <c:pt idx="29">
                  <c:v>0.94572201313661786</c:v>
                </c:pt>
                <c:pt idx="30">
                  <c:v>0.62162819650548784</c:v>
                </c:pt>
                <c:pt idx="31">
                  <c:v>0.70760292497245314</c:v>
                </c:pt>
                <c:pt idx="32">
                  <c:v>0.73410512156380126</c:v>
                </c:pt>
                <c:pt idx="33">
                  <c:v>0.79443625592077949</c:v>
                </c:pt>
                <c:pt idx="34">
                  <c:v>0.81876332622601267</c:v>
                </c:pt>
                <c:pt idx="35">
                  <c:v>0.522087548833016</c:v>
                </c:pt>
                <c:pt idx="36">
                  <c:v>0.63387759190624049</c:v>
                </c:pt>
                <c:pt idx="37">
                  <c:v>0.67966972424550298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25-4076-AD91-BF0BEAA4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25792"/>
        <c:axId val="2029038304"/>
      </c:scatterChart>
      <c:valAx>
        <c:axId val="202902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8304"/>
        <c:crosses val="autoZero"/>
        <c:crossBetween val="midCat"/>
      </c:valAx>
      <c:valAx>
        <c:axId val="20290383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5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WMed:  w_LIG_LLindex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Comp2020vs2026!$AN$6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Comp2020vs2026!$AK$7:$AK$21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Comp2020vs2026!$AN$7:$AN$21</c:f>
              <c:numCache>
                <c:formatCode>General</c:formatCode>
                <c:ptCount val="15"/>
                <c:pt idx="0">
                  <c:v>1.8555957799566569</c:v>
                </c:pt>
                <c:pt idx="1">
                  <c:v>1.3356847014114419</c:v>
                </c:pt>
                <c:pt idx="2">
                  <c:v>0.80196968473866903</c:v>
                </c:pt>
                <c:pt idx="3">
                  <c:v>0.88591104128762255</c:v>
                </c:pt>
                <c:pt idx="4">
                  <c:v>1.2547612098782299</c:v>
                </c:pt>
                <c:pt idx="5">
                  <c:v>0.89446165883222295</c:v>
                </c:pt>
                <c:pt idx="6">
                  <c:v>0.81320284896392847</c:v>
                </c:pt>
                <c:pt idx="7">
                  <c:v>0.66365087151719127</c:v>
                </c:pt>
                <c:pt idx="8">
                  <c:v>0.49476220341403743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1-408A-A391-6777931537F8}"/>
            </c:ext>
          </c:extLst>
        </c:ser>
        <c:ser>
          <c:idx val="1"/>
          <c:order val="1"/>
          <c:tx>
            <c:strRef>
              <c:f>Comp2020vs2026!$AO$6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Comp2020vs2026!$AK$7:$AK$21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Comp2020vs2026!$AO$7:$AO$21</c:f>
              <c:numCache>
                <c:formatCode>General</c:formatCode>
                <c:ptCount val="15"/>
                <c:pt idx="0">
                  <c:v>1.66996555999449</c:v>
                </c:pt>
                <c:pt idx="1">
                  <c:v>1.2245157735225238</c:v>
                </c:pt>
                <c:pt idx="2">
                  <c:v>0.77499931119988996</c:v>
                </c:pt>
                <c:pt idx="3">
                  <c:v>0.85137346741975484</c:v>
                </c:pt>
                <c:pt idx="4">
                  <c:v>1.2166799834687976</c:v>
                </c:pt>
                <c:pt idx="5">
                  <c:v>0.78848877255820382</c:v>
                </c:pt>
                <c:pt idx="6">
                  <c:v>0.98106075216972044</c:v>
                </c:pt>
                <c:pt idx="7">
                  <c:v>0.892536162005786</c:v>
                </c:pt>
                <c:pt idx="8">
                  <c:v>0.60038021766083494</c:v>
                </c:pt>
                <c:pt idx="9">
                  <c:v>0.87517839922854401</c:v>
                </c:pt>
                <c:pt idx="10">
                  <c:v>1.0381925885108143</c:v>
                </c:pt>
                <c:pt idx="11">
                  <c:v>0.62373880699820916</c:v>
                </c:pt>
                <c:pt idx="12">
                  <c:v>0.82930431188869003</c:v>
                </c:pt>
                <c:pt idx="13">
                  <c:v>0.9043394406943106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1-408A-A391-677793153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29600"/>
        <c:axId val="2029036672"/>
      </c:scatterChart>
      <c:valAx>
        <c:axId val="202902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6672"/>
        <c:crosses val="autoZero"/>
        <c:crossBetween val="midCat"/>
      </c:valAx>
      <c:valAx>
        <c:axId val="2029036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WMed:  n_LIG_LL 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Comp2020vs2026!$AU$6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Comp2020vs2026!$AR$7:$AR$21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Comp2020vs2026!$AU$7:$AU$21</c:f>
              <c:numCache>
                <c:formatCode>General</c:formatCode>
                <c:ptCount val="15"/>
                <c:pt idx="0">
                  <c:v>1.3818076477404402</c:v>
                </c:pt>
                <c:pt idx="1">
                  <c:v>1.2462340672074159</c:v>
                </c:pt>
                <c:pt idx="2">
                  <c:v>0.91946697566628033</c:v>
                </c:pt>
                <c:pt idx="3">
                  <c:v>0.87427578215527224</c:v>
                </c:pt>
                <c:pt idx="4">
                  <c:v>1.3922363847045187</c:v>
                </c:pt>
                <c:pt idx="5">
                  <c:v>0.89339513325608333</c:v>
                </c:pt>
                <c:pt idx="6">
                  <c:v>0.9768250289687137</c:v>
                </c:pt>
                <c:pt idx="7">
                  <c:v>0.72827346465816922</c:v>
                </c:pt>
                <c:pt idx="8">
                  <c:v>0.58748551564310536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1-49B3-9C10-F5A343372935}"/>
            </c:ext>
          </c:extLst>
        </c:ser>
        <c:ser>
          <c:idx val="1"/>
          <c:order val="1"/>
          <c:tx>
            <c:strRef>
              <c:f>Comp2020vs2026!$AV$6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Comp2020vs2026!$AR$7:$AR$21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xVal>
          <c:yVal>
            <c:numRef>
              <c:f>Comp2020vs2026!$AV$7:$AV$21</c:f>
              <c:numCache>
                <c:formatCode>General</c:formatCode>
                <c:ptCount val="15"/>
                <c:pt idx="0">
                  <c:v>1.3021338506304558</c:v>
                </c:pt>
                <c:pt idx="1">
                  <c:v>1.1188166828322019</c:v>
                </c:pt>
                <c:pt idx="2">
                  <c:v>0.88457807953443268</c:v>
                </c:pt>
                <c:pt idx="3">
                  <c:v>0.85838991270611065</c:v>
                </c:pt>
                <c:pt idx="4">
                  <c:v>1.396702230843841</c:v>
                </c:pt>
                <c:pt idx="5">
                  <c:v>0.77982541222114454</c:v>
                </c:pt>
                <c:pt idx="6">
                  <c:v>1.1202715809893309</c:v>
                </c:pt>
                <c:pt idx="7">
                  <c:v>0.93986420950533467</c:v>
                </c:pt>
                <c:pt idx="8">
                  <c:v>0.59941804073714844</c:v>
                </c:pt>
                <c:pt idx="9">
                  <c:v>0.83511154219204664</c:v>
                </c:pt>
                <c:pt idx="10">
                  <c:v>1.0373423860329778</c:v>
                </c:pt>
                <c:pt idx="11">
                  <c:v>0.60960232783705148</c:v>
                </c:pt>
                <c:pt idx="12">
                  <c:v>0.75072744907856459</c:v>
                </c:pt>
                <c:pt idx="13">
                  <c:v>0.84238603297769155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21-49B3-9C10-F5A34337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35584"/>
        <c:axId val="2029037216"/>
      </c:scatterChart>
      <c:valAx>
        <c:axId val="202903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7216"/>
        <c:crosses val="autoZero"/>
        <c:crossBetween val="midCat"/>
      </c:valAx>
      <c:valAx>
        <c:axId val="2029037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WMed: w_MORLL 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Comp2020vs2026!$BB$6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Comp2020vs2026!$AY$7:$AY$36</c:f>
              <c:numCache>
                <c:formatCode>General</c:formatCode>
                <c:ptCount val="3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Comp2020vs2026!$BB$7:$BB$36</c:f>
              <c:numCache>
                <c:formatCode>General</c:formatCode>
                <c:ptCount val="30"/>
                <c:pt idx="0">
                  <c:v>1.9259041411652489</c:v>
                </c:pt>
                <c:pt idx="1">
                  <c:v>1.1406297194181698</c:v>
                </c:pt>
                <c:pt idx="2">
                  <c:v>1.3249075987600349</c:v>
                </c:pt>
                <c:pt idx="3">
                  <c:v>1.0903803354264365</c:v>
                </c:pt>
                <c:pt idx="4">
                  <c:v>0.41013929735315152</c:v>
                </c:pt>
                <c:pt idx="5">
                  <c:v>0.47207992210476107</c:v>
                </c:pt>
                <c:pt idx="6">
                  <c:v>0.63595898577219612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1-4C78-A4E7-73A0BEF7FA7F}"/>
            </c:ext>
          </c:extLst>
        </c:ser>
        <c:ser>
          <c:idx val="1"/>
          <c:order val="1"/>
          <c:tx>
            <c:strRef>
              <c:f>Comp2020vs2026!$BC$6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Comp2020vs2026!$AY$7:$AY$36</c:f>
              <c:numCache>
                <c:formatCode>General</c:formatCode>
                <c:ptCount val="3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Comp2020vs2026!$BC$7:$BC$36</c:f>
              <c:numCache>
                <c:formatCode>General</c:formatCode>
                <c:ptCount val="30"/>
                <c:pt idx="0">
                  <c:v>1.2147808743800466</c:v>
                </c:pt>
                <c:pt idx="1">
                  <c:v>1.7015343943418428</c:v>
                </c:pt>
                <c:pt idx="2">
                  <c:v>0.84407607050223632</c:v>
                </c:pt>
                <c:pt idx="3">
                  <c:v>0.96330375452187511</c:v>
                </c:pt>
                <c:pt idx="4">
                  <c:v>0.95388701788774188</c:v>
                </c:pt>
                <c:pt idx="5">
                  <c:v>0.62731633930215636</c:v>
                </c:pt>
                <c:pt idx="6">
                  <c:v>0.69510154906410049</c:v>
                </c:pt>
                <c:pt idx="7">
                  <c:v>0.51502557844107277</c:v>
                </c:pt>
                <c:pt idx="8">
                  <c:v>0.58621916619588177</c:v>
                </c:pt>
                <c:pt idx="9">
                  <c:v>0.60473583509942663</c:v>
                </c:pt>
                <c:pt idx="10">
                  <c:v>0.62678104916866162</c:v>
                </c:pt>
                <c:pt idx="11">
                  <c:v>0.605052639464148</c:v>
                </c:pt>
                <c:pt idx="12">
                  <c:v>0.6172332210732645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51-4C78-A4E7-73A0BEF7F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26336"/>
        <c:axId val="2029023072"/>
      </c:scatterChart>
      <c:valAx>
        <c:axId val="2029026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3072"/>
        <c:crosses val="autoZero"/>
        <c:crossBetween val="midCat"/>
      </c:valAx>
      <c:valAx>
        <c:axId val="2029023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ZAF LL index 2022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Comp2020vs2026!$CR$6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Comp2020vs2026!$CO$7:$CO$27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xVal>
          <c:yVal>
            <c:numRef>
              <c:f>Comp2020vs2026!$CR$7:$CR$27</c:f>
              <c:numCache>
                <c:formatCode>General</c:formatCode>
                <c:ptCount val="21"/>
                <c:pt idx="0">
                  <c:v>1.5294435489795823</c:v>
                </c:pt>
                <c:pt idx="1">
                  <c:v>1.3145511433419637</c:v>
                </c:pt>
                <c:pt idx="2">
                  <c:v>1.1203144499535063</c:v>
                </c:pt>
                <c:pt idx="3">
                  <c:v>1.093039802267362</c:v>
                </c:pt>
                <c:pt idx="4">
                  <c:v>0.91688930870127494</c:v>
                </c:pt>
                <c:pt idx="5">
                  <c:v>0.88900785685426587</c:v>
                </c:pt>
                <c:pt idx="6">
                  <c:v>1.0022918997494663</c:v>
                </c:pt>
                <c:pt idx="7">
                  <c:v>0.67724654867336254</c:v>
                </c:pt>
                <c:pt idx="8">
                  <c:v>0.70613200472433402</c:v>
                </c:pt>
                <c:pt idx="9">
                  <c:v>1.0707638358203924</c:v>
                </c:pt>
                <c:pt idx="10">
                  <c:v>0.90211365683893385</c:v>
                </c:pt>
                <c:pt idx="11">
                  <c:v>1.1478416398766342</c:v>
                </c:pt>
                <c:pt idx="12">
                  <c:v>1.2315732666270063</c:v>
                </c:pt>
                <c:pt idx="13">
                  <c:v>0.91246940828885803</c:v>
                </c:pt>
                <c:pt idx="14">
                  <c:v>0.74359599133896159</c:v>
                </c:pt>
                <c:pt idx="15">
                  <c:v>1.0636351740040095</c:v>
                </c:pt>
                <c:pt idx="16">
                  <c:v>0.67909046396008577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7C-4155-957D-8C255507C969}"/>
            </c:ext>
          </c:extLst>
        </c:ser>
        <c:ser>
          <c:idx val="1"/>
          <c:order val="1"/>
          <c:tx>
            <c:strRef>
              <c:f>Comp2020vs2026!$CS$6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Comp2020vs2026!$CO$7:$CO$27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xVal>
          <c:yVal>
            <c:numRef>
              <c:f>Comp2020vs2026!$CS$7:$CS$27</c:f>
              <c:numCache>
                <c:formatCode>General</c:formatCode>
                <c:ptCount val="21"/>
                <c:pt idx="0">
                  <c:v>1.1727373068432672</c:v>
                </c:pt>
                <c:pt idx="1">
                  <c:v>1.8294701986754967</c:v>
                </c:pt>
                <c:pt idx="2">
                  <c:v>1.3979028697571743</c:v>
                </c:pt>
                <c:pt idx="3">
                  <c:v>1.2759381898454747</c:v>
                </c:pt>
                <c:pt idx="4">
                  <c:v>0.86313465783664456</c:v>
                </c:pt>
                <c:pt idx="5">
                  <c:v>0.79746136865342154</c:v>
                </c:pt>
                <c:pt idx="6">
                  <c:v>1.1915011037527594</c:v>
                </c:pt>
                <c:pt idx="7">
                  <c:v>0.57229580573951433</c:v>
                </c:pt>
                <c:pt idx="8">
                  <c:v>0.50662251655629142</c:v>
                </c:pt>
                <c:pt idx="9">
                  <c:v>0.82560706401766004</c:v>
                </c:pt>
                <c:pt idx="10">
                  <c:v>0.77869757174392928</c:v>
                </c:pt>
                <c:pt idx="11">
                  <c:v>0.94757174392935983</c:v>
                </c:pt>
                <c:pt idx="12">
                  <c:v>1.0413907284768213</c:v>
                </c:pt>
                <c:pt idx="13">
                  <c:v>0.8443708609271523</c:v>
                </c:pt>
                <c:pt idx="14">
                  <c:v>0.90066225165562908</c:v>
                </c:pt>
                <c:pt idx="15">
                  <c:v>1.2665562913907285</c:v>
                </c:pt>
                <c:pt idx="16">
                  <c:v>0.78807947019867541</c:v>
                </c:pt>
                <c:pt idx="17">
                  <c:v>0.91004415011037521</c:v>
                </c:pt>
                <c:pt idx="18">
                  <c:v>0.80684326710816778</c:v>
                </c:pt>
                <c:pt idx="19">
                  <c:v>0.92880794701986746</c:v>
                </c:pt>
                <c:pt idx="20">
                  <c:v>0.8725165562913908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7C-4155-957D-8C255507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31232"/>
        <c:axId val="2029032320"/>
      </c:scatterChart>
      <c:valAx>
        <c:axId val="202903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2320"/>
        <c:crosses val="autoZero"/>
        <c:crossBetween val="midCat"/>
      </c:valAx>
      <c:valAx>
        <c:axId val="2029032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3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BRA LL index 2022 vs BRA-URY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Comp2020vs2026!$BY$6</c:f>
              <c:strCache>
                <c:ptCount val="1"/>
                <c:pt idx="0">
                  <c:v>2022 BRALL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Comp2020vs2026!$BU$7:$BU$37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xVal>
          <c:yVal>
            <c:numRef>
              <c:f>Comp2020vs2026!$BY$7:$BY$37</c:f>
              <c:numCache>
                <c:formatCode>General</c:formatCode>
                <c:ptCount val="31"/>
                <c:pt idx="0">
                  <c:v>1.0245644410778054</c:v>
                </c:pt>
                <c:pt idx="1">
                  <c:v>1.3985499404826316</c:v>
                </c:pt>
                <c:pt idx="2">
                  <c:v>1.5397684233308082</c:v>
                </c:pt>
                <c:pt idx="3">
                  <c:v>1.4530894924791689</c:v>
                </c:pt>
                <c:pt idx="4">
                  <c:v>1.2281138404934531</c:v>
                </c:pt>
                <c:pt idx="5">
                  <c:v>1.0284601233632724</c:v>
                </c:pt>
                <c:pt idx="6">
                  <c:v>0.92327670165566489</c:v>
                </c:pt>
                <c:pt idx="7">
                  <c:v>0.86094578508819397</c:v>
                </c:pt>
                <c:pt idx="8">
                  <c:v>0.87750243480142842</c:v>
                </c:pt>
                <c:pt idx="9">
                  <c:v>1.014825235364138</c:v>
                </c:pt>
                <c:pt idx="10">
                  <c:v>0.82004112109079097</c:v>
                </c:pt>
                <c:pt idx="11">
                  <c:v>0.83562385023265873</c:v>
                </c:pt>
                <c:pt idx="12">
                  <c:v>0.95444215993940051</c:v>
                </c:pt>
                <c:pt idx="13">
                  <c:v>1.173574288496916</c:v>
                </c:pt>
                <c:pt idx="14">
                  <c:v>1.0683908667893085</c:v>
                </c:pt>
                <c:pt idx="15">
                  <c:v>1.0518342170760742</c:v>
                </c:pt>
                <c:pt idx="16">
                  <c:v>1.0323558056487394</c:v>
                </c:pt>
                <c:pt idx="17">
                  <c:v>1.0109295530786711</c:v>
                </c:pt>
                <c:pt idx="18">
                  <c:v>0.96515528622443458</c:v>
                </c:pt>
                <c:pt idx="19">
                  <c:v>0.84828481766042629</c:v>
                </c:pt>
                <c:pt idx="20">
                  <c:v>0.92814630451249858</c:v>
                </c:pt>
                <c:pt idx="21">
                  <c:v>1.0907910399307434</c:v>
                </c:pt>
                <c:pt idx="22">
                  <c:v>0.96710312736716808</c:v>
                </c:pt>
                <c:pt idx="23">
                  <c:v>0.77231901309382101</c:v>
                </c:pt>
                <c:pt idx="24">
                  <c:v>0.85412834108862679</c:v>
                </c:pt>
                <c:pt idx="25">
                  <c:v>0.6661616708148469</c:v>
                </c:pt>
                <c:pt idx="26">
                  <c:v>0.61162211881830975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F-4513-B3DB-6A0AC0800CB8}"/>
            </c:ext>
          </c:extLst>
        </c:ser>
        <c:ser>
          <c:idx val="1"/>
          <c:order val="1"/>
          <c:tx>
            <c:strRef>
              <c:f>Comp2020vs2026!$BZ$6</c:f>
              <c:strCache>
                <c:ptCount val="1"/>
                <c:pt idx="0">
                  <c:v>2026 BRA-URY LL novessel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Comp2020vs2026!$BU$7:$BU$37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xVal>
          <c:yVal>
            <c:numRef>
              <c:f>Comp2020vs2026!$BZ$7:$BZ$37</c:f>
              <c:numCache>
                <c:formatCode>General</c:formatCode>
                <c:ptCount val="31"/>
                <c:pt idx="0">
                  <c:v>1.0229256129657851</c:v>
                </c:pt>
                <c:pt idx="1">
                  <c:v>1.3324213880038789</c:v>
                </c:pt>
                <c:pt idx="2">
                  <c:v>1.6138661864524175</c:v>
                </c:pt>
                <c:pt idx="3">
                  <c:v>1.500727247541211</c:v>
                </c:pt>
                <c:pt idx="4">
                  <c:v>1.259488848871035</c:v>
                </c:pt>
                <c:pt idx="5">
                  <c:v>0.98178418063443718</c:v>
                </c:pt>
                <c:pt idx="6">
                  <c:v>0.897631250865771</c:v>
                </c:pt>
                <c:pt idx="7">
                  <c:v>0.7938426374844163</c:v>
                </c:pt>
                <c:pt idx="8">
                  <c:v>0.79664773514337184</c:v>
                </c:pt>
                <c:pt idx="9">
                  <c:v>0.95747333425682246</c:v>
                </c:pt>
                <c:pt idx="10">
                  <c:v>0.89108602299487483</c:v>
                </c:pt>
                <c:pt idx="11">
                  <c:v>0.97523895276354078</c:v>
                </c:pt>
                <c:pt idx="12">
                  <c:v>1.1005333148635548</c:v>
                </c:pt>
                <c:pt idx="13">
                  <c:v>1.3389666158747751</c:v>
                </c:pt>
                <c:pt idx="14">
                  <c:v>1.002354896800111</c:v>
                </c:pt>
                <c:pt idx="15">
                  <c:v>0.94625294362100032</c:v>
                </c:pt>
                <c:pt idx="16">
                  <c:v>1.1136237706053473</c:v>
                </c:pt>
                <c:pt idx="17">
                  <c:v>0.98084914808145185</c:v>
                </c:pt>
                <c:pt idx="18">
                  <c:v>0.89202105554785993</c:v>
                </c:pt>
                <c:pt idx="19">
                  <c:v>0.84526942789860116</c:v>
                </c:pt>
                <c:pt idx="20">
                  <c:v>0.89856628341875622</c:v>
                </c:pt>
                <c:pt idx="21">
                  <c:v>0.95092810638592618</c:v>
                </c:pt>
                <c:pt idx="22">
                  <c:v>0.93222745532622264</c:v>
                </c:pt>
                <c:pt idx="23">
                  <c:v>0.75457127025903881</c:v>
                </c:pt>
                <c:pt idx="24">
                  <c:v>0.86677517661726022</c:v>
                </c:pt>
                <c:pt idx="25">
                  <c:v>0.75083114004709817</c:v>
                </c:pt>
                <c:pt idx="26">
                  <c:v>0.60309599667544</c:v>
                </c:pt>
                <c:pt idx="27">
                  <c:v>0.74428591217620188</c:v>
                </c:pt>
                <c:pt idx="28">
                  <c:v>0.77233688876575712</c:v>
                </c:pt>
                <c:pt idx="29">
                  <c:v>0.7620515306829202</c:v>
                </c:pt>
                <c:pt idx="30">
                  <c:v>0.59374567114558818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F-4513-B3DB-6A0AC0800CB8}"/>
            </c:ext>
          </c:extLst>
        </c:ser>
        <c:ser>
          <c:idx val="2"/>
          <c:order val="2"/>
          <c:tx>
            <c:strRef>
              <c:f>Comp2020vs2026!$CA$6</c:f>
              <c:strCache>
                <c:ptCount val="1"/>
                <c:pt idx="0">
                  <c:v>2026 BRA-URY LL w_vessel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Comp2020vs2026!$BU$7:$BU$37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xVal>
          <c:yVal>
            <c:numRef>
              <c:f>Comp2020vs2026!$CA$7:$CA$37</c:f>
              <c:numCache>
                <c:formatCode>General</c:formatCode>
                <c:ptCount val="31"/>
                <c:pt idx="0">
                  <c:v>0.81394965735371649</c:v>
                </c:pt>
                <c:pt idx="1">
                  <c:v>1.1226278334211914</c:v>
                </c:pt>
                <c:pt idx="2">
                  <c:v>1.0817079599367423</c:v>
                </c:pt>
                <c:pt idx="3">
                  <c:v>1.0594688982604112</c:v>
                </c:pt>
                <c:pt idx="4">
                  <c:v>1.1110635213494993</c:v>
                </c:pt>
                <c:pt idx="5">
                  <c:v>0.91802846599894572</c:v>
                </c:pt>
                <c:pt idx="6">
                  <c:v>0.92692409066947823</c:v>
                </c:pt>
                <c:pt idx="7">
                  <c:v>0.82729309435951504</c:v>
                </c:pt>
                <c:pt idx="8">
                  <c:v>0.7143186610437533</c:v>
                </c:pt>
                <c:pt idx="9">
                  <c:v>0.93937796520822359</c:v>
                </c:pt>
                <c:pt idx="10">
                  <c:v>0.90468502899314707</c:v>
                </c:pt>
                <c:pt idx="11">
                  <c:v>1.0185490247759621</c:v>
                </c:pt>
                <c:pt idx="12">
                  <c:v>1.0327820242488139</c:v>
                </c:pt>
                <c:pt idx="13">
                  <c:v>1.1599894570374276</c:v>
                </c:pt>
                <c:pt idx="14">
                  <c:v>1.0728123352662098</c:v>
                </c:pt>
                <c:pt idx="15">
                  <c:v>0.94204665260938325</c:v>
                </c:pt>
                <c:pt idx="16">
                  <c:v>1.0158803373748022</c:v>
                </c:pt>
                <c:pt idx="17">
                  <c:v>0.95450052714812861</c:v>
                </c:pt>
                <c:pt idx="18">
                  <c:v>0.98207696362677921</c:v>
                </c:pt>
                <c:pt idx="19">
                  <c:v>1.1288547706905641</c:v>
                </c:pt>
                <c:pt idx="20">
                  <c:v>1.1599894570374276</c:v>
                </c:pt>
                <c:pt idx="21">
                  <c:v>1.2062467053241963</c:v>
                </c:pt>
                <c:pt idx="22">
                  <c:v>1.106615709014233</c:v>
                </c:pt>
                <c:pt idx="23">
                  <c:v>1.0434567738534528</c:v>
                </c:pt>
                <c:pt idx="24">
                  <c:v>1.0425672113863995</c:v>
                </c:pt>
                <c:pt idx="25">
                  <c:v>0.91269109119662628</c:v>
                </c:pt>
                <c:pt idx="26">
                  <c:v>0.80149578281497103</c:v>
                </c:pt>
                <c:pt idx="27">
                  <c:v>0.74901159725882971</c:v>
                </c:pt>
                <c:pt idx="28">
                  <c:v>0.76146547179757518</c:v>
                </c:pt>
                <c:pt idx="29">
                  <c:v>0.73477859778597787</c:v>
                </c:pt>
                <c:pt idx="30">
                  <c:v>0.52306273062730624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22-4063-85BA-4EB8A41CC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25248"/>
        <c:axId val="2029737392"/>
      </c:scatterChart>
      <c:valAx>
        <c:axId val="202902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7392"/>
        <c:crosses val="autoZero"/>
        <c:crossBetween val="midCat"/>
      </c:valAx>
      <c:valAx>
        <c:axId val="2029737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02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w_SPN LL index 2022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en-US"/>
              <a:t>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Comp2020vs2026!$CF$6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Comp2020vs2026!$CC$7:$CC$42</c:f>
              <c:numCache>
                <c:formatCode>General</c:formatCod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numCache>
            </c:numRef>
          </c:xVal>
          <c:yVal>
            <c:numRef>
              <c:f>Comp2020vs2026!$CF$7:$CF$42</c:f>
              <c:numCache>
                <c:formatCode>General</c:formatCode>
                <c:ptCount val="36"/>
                <c:pt idx="0">
                  <c:v>1.3518738244080084</c:v>
                </c:pt>
                <c:pt idx="1">
                  <c:v>1.0247162065051814</c:v>
                </c:pt>
                <c:pt idx="2">
                  <c:v>0.9950470003262798</c:v>
                </c:pt>
                <c:pt idx="3">
                  <c:v>0.90307892505102694</c:v>
                </c:pt>
                <c:pt idx="4">
                  <c:v>0.78091419104258097</c:v>
                </c:pt>
                <c:pt idx="5">
                  <c:v>0.89454143321636614</c:v>
                </c:pt>
                <c:pt idx="6">
                  <c:v>1.022813240426953</c:v>
                </c:pt>
                <c:pt idx="7">
                  <c:v>0.9187602963342546</c:v>
                </c:pt>
                <c:pt idx="8">
                  <c:v>0.87342006107907233</c:v>
                </c:pt>
                <c:pt idx="9">
                  <c:v>0.84943648316922571</c:v>
                </c:pt>
                <c:pt idx="10">
                  <c:v>0.91928257778507272</c:v>
                </c:pt>
                <c:pt idx="11">
                  <c:v>1.1115752315486687</c:v>
                </c:pt>
                <c:pt idx="12">
                  <c:v>0.98382829134063676</c:v>
                </c:pt>
                <c:pt idx="13">
                  <c:v>0.94268182100241993</c:v>
                </c:pt>
                <c:pt idx="14">
                  <c:v>0.8297242367284462</c:v>
                </c:pt>
                <c:pt idx="15">
                  <c:v>0.8077573891732438</c:v>
                </c:pt>
                <c:pt idx="16">
                  <c:v>0.98034296759953354</c:v>
                </c:pt>
                <c:pt idx="17">
                  <c:v>0.9883116380521153</c:v>
                </c:pt>
                <c:pt idx="18">
                  <c:v>0.96067984664175188</c:v>
                </c:pt>
                <c:pt idx="19">
                  <c:v>0.92910508883288523</c:v>
                </c:pt>
                <c:pt idx="20">
                  <c:v>1.0162433534639386</c:v>
                </c:pt>
                <c:pt idx="21">
                  <c:v>0.98724639073658516</c:v>
                </c:pt>
                <c:pt idx="22">
                  <c:v>0.95649900948347</c:v>
                </c:pt>
                <c:pt idx="23">
                  <c:v>1.0197700460328294</c:v>
                </c:pt>
                <c:pt idx="24">
                  <c:v>1.0283851044195917</c:v>
                </c:pt>
                <c:pt idx="25">
                  <c:v>1.0777794847979565</c:v>
                </c:pt>
                <c:pt idx="26">
                  <c:v>1.164113642838889</c:v>
                </c:pt>
                <c:pt idx="27">
                  <c:v>1.2700669674580787</c:v>
                </c:pt>
                <c:pt idx="28">
                  <c:v>1.2391773808594437</c:v>
                </c:pt>
                <c:pt idx="29">
                  <c:v>1.0891223002669621</c:v>
                </c:pt>
                <c:pt idx="30">
                  <c:v>1.0837055693785267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F-4762-B8B7-F8A05CA459A5}"/>
            </c:ext>
          </c:extLst>
        </c:ser>
        <c:ser>
          <c:idx val="2"/>
          <c:order val="1"/>
          <c:tx>
            <c:strRef>
              <c:f>Comp2020vs2026!$CG$6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Comp2020vs2026!$CC$7:$CC$42</c:f>
              <c:numCache>
                <c:formatCode>General</c:formatCod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numCache>
            </c:numRef>
          </c:xVal>
          <c:yVal>
            <c:numRef>
              <c:f>Comp2020vs2026!$CG$7:$CG$42</c:f>
              <c:numCache>
                <c:formatCode>General</c:formatCode>
                <c:ptCount val="36"/>
                <c:pt idx="0">
                  <c:v>1.2831330269707353</c:v>
                </c:pt>
                <c:pt idx="1">
                  <c:v>0.96623831550161432</c:v>
                </c:pt>
                <c:pt idx="2">
                  <c:v>0.94180797561061469</c:v>
                </c:pt>
                <c:pt idx="3">
                  <c:v>0.85000772247250844</c:v>
                </c:pt>
                <c:pt idx="4">
                  <c:v>0.73026539185301853</c:v>
                </c:pt>
                <c:pt idx="5">
                  <c:v>0.84469170867653853</c:v>
                </c:pt>
                <c:pt idx="6">
                  <c:v>0.96488730868426087</c:v>
                </c:pt>
                <c:pt idx="7">
                  <c:v>0.85695198552717788</c:v>
                </c:pt>
                <c:pt idx="8">
                  <c:v>0.84020302153093462</c:v>
                </c:pt>
                <c:pt idx="9">
                  <c:v>0.81686844938430314</c:v>
                </c:pt>
                <c:pt idx="10">
                  <c:v>0.89356999115322622</c:v>
                </c:pt>
                <c:pt idx="11">
                  <c:v>1.0961374009564508</c:v>
                </c:pt>
                <c:pt idx="12">
                  <c:v>0.97682193568316056</c:v>
                </c:pt>
                <c:pt idx="13">
                  <c:v>0.93801899557888446</c:v>
                </c:pt>
                <c:pt idx="14">
                  <c:v>0.83378023830641623</c:v>
                </c:pt>
                <c:pt idx="15">
                  <c:v>0.82509990948807954</c:v>
                </c:pt>
                <c:pt idx="16">
                  <c:v>1.0035428262205197</c:v>
                </c:pt>
                <c:pt idx="17">
                  <c:v>1.0006031762075165</c:v>
                </c:pt>
                <c:pt idx="18">
                  <c:v>0.98271003705651139</c:v>
                </c:pt>
                <c:pt idx="19">
                  <c:v>0.94600181762018376</c:v>
                </c:pt>
                <c:pt idx="20">
                  <c:v>1.0380507088207671</c:v>
                </c:pt>
                <c:pt idx="21">
                  <c:v>1.0185557244530956</c:v>
                </c:pt>
                <c:pt idx="22">
                  <c:v>0.9853680439544964</c:v>
                </c:pt>
                <c:pt idx="23">
                  <c:v>1.0562562958024955</c:v>
                </c:pt>
                <c:pt idx="24">
                  <c:v>1.0607977910321653</c:v>
                </c:pt>
                <c:pt idx="25">
                  <c:v>1.1217955288019832</c:v>
                </c:pt>
                <c:pt idx="26">
                  <c:v>1.2064908942963861</c:v>
                </c:pt>
                <c:pt idx="27">
                  <c:v>1.3237864503541548</c:v>
                </c:pt>
                <c:pt idx="28">
                  <c:v>1.2994837299996478</c:v>
                </c:pt>
                <c:pt idx="29">
                  <c:v>1.1468925707543152</c:v>
                </c:pt>
                <c:pt idx="30">
                  <c:v>1.1511810272478356</c:v>
                </c:pt>
                <c:pt idx="31">
                  <c:v>0.97997941904293573</c:v>
                </c:pt>
                <c:pt idx="32">
                  <c:v>1.0903087086776742</c:v>
                </c:pt>
                <c:pt idx="33">
                  <c:v>1.0122869648071029</c:v>
                </c:pt>
                <c:pt idx="34">
                  <c:v>1.2219878666328998</c:v>
                </c:pt>
                <c:pt idx="35">
                  <c:v>1.1304296505467624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DF-4762-B8B7-F8A05CA4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4128"/>
        <c:axId val="2029736304"/>
      </c:scatterChart>
      <c:valAx>
        <c:axId val="202973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6304"/>
        <c:crosses val="autoZero"/>
        <c:crossBetween val="midCat"/>
      </c:valAx>
      <c:valAx>
        <c:axId val="202973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JPN LL</a:t>
            </a:r>
            <a:r>
              <a:rPr lang="en-US" baseline="0"/>
              <a:t> </a:t>
            </a:r>
            <a:r>
              <a:rPr lang="en-US"/>
              <a:t>index 2022 vs 2026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Comp2020vs2026!$DA$6</c:f>
              <c:strCache>
                <c:ptCount val="1"/>
                <c:pt idx="0">
                  <c:v>JPNLL1_2022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Comp2020vs2026!$DA$7:$DA$69</c:f>
              <c:numCache>
                <c:formatCode>General</c:formatCode>
                <c:ptCount val="63"/>
                <c:pt idx="14">
                  <c:v>0.87549295774647895</c:v>
                </c:pt>
                <c:pt idx="15">
                  <c:v>0.99380281690140848</c:v>
                </c:pt>
                <c:pt idx="16">
                  <c:v>0.85971830985915498</c:v>
                </c:pt>
                <c:pt idx="17">
                  <c:v>0.95436619718309856</c:v>
                </c:pt>
                <c:pt idx="18">
                  <c:v>1.127887323943662</c:v>
                </c:pt>
                <c:pt idx="19">
                  <c:v>0.80450704225352121</c:v>
                </c:pt>
                <c:pt idx="20">
                  <c:v>0.7177464788732395</c:v>
                </c:pt>
                <c:pt idx="21">
                  <c:v>0.70197183098591553</c:v>
                </c:pt>
                <c:pt idx="22">
                  <c:v>0.95436619718309856</c:v>
                </c:pt>
                <c:pt idx="23">
                  <c:v>1.2698591549295777</c:v>
                </c:pt>
                <c:pt idx="24">
                  <c:v>0.95436619718309856</c:v>
                </c:pt>
                <c:pt idx="25">
                  <c:v>1.5853521126760564</c:v>
                </c:pt>
                <c:pt idx="26">
                  <c:v>1.2619718309859156</c:v>
                </c:pt>
                <c:pt idx="27">
                  <c:v>0.93859154929577471</c:v>
                </c:pt>
                <c:pt idx="28">
                  <c:v>1.3802816901408452</c:v>
                </c:pt>
                <c:pt idx="29">
                  <c:v>0.63887323943661978</c:v>
                </c:pt>
                <c:pt idx="30">
                  <c:v>0.58366197183098589</c:v>
                </c:pt>
                <c:pt idx="31">
                  <c:v>0.63098591549295779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8D-40AC-BB7E-522EAF9BF4D8}"/>
            </c:ext>
          </c:extLst>
        </c:ser>
        <c:ser>
          <c:idx val="1"/>
          <c:order val="1"/>
          <c:tx>
            <c:strRef>
              <c:f>Comp2020vs2026!$DB$6</c:f>
              <c:strCache>
                <c:ptCount val="1"/>
                <c:pt idx="0">
                  <c:v>JPNLL2_2022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Comp2020vs2026!$DB$7:$DB$69</c:f>
              <c:numCache>
                <c:formatCode>General</c:formatCode>
                <c:ptCount val="63"/>
                <c:pt idx="32">
                  <c:v>1.2397029034436193</c:v>
                </c:pt>
                <c:pt idx="33">
                  <c:v>1.0573936529372046</c:v>
                </c:pt>
                <c:pt idx="34">
                  <c:v>1.0209318028359218</c:v>
                </c:pt>
                <c:pt idx="35">
                  <c:v>0.8568534773801485</c:v>
                </c:pt>
                <c:pt idx="36">
                  <c:v>0.83862255232950711</c:v>
                </c:pt>
                <c:pt idx="37">
                  <c:v>0.8568534773801485</c:v>
                </c:pt>
                <c:pt idx="38">
                  <c:v>0.82039162727886561</c:v>
                </c:pt>
                <c:pt idx="39">
                  <c:v>0.83862255232950711</c:v>
                </c:pt>
                <c:pt idx="40">
                  <c:v>0.87508440243079</c:v>
                </c:pt>
                <c:pt idx="41">
                  <c:v>0.71100607697501694</c:v>
                </c:pt>
                <c:pt idx="42">
                  <c:v>0.67454422687373394</c:v>
                </c:pt>
                <c:pt idx="43">
                  <c:v>0.87508440243079</c:v>
                </c:pt>
                <c:pt idx="44">
                  <c:v>1.3126266036461849</c:v>
                </c:pt>
                <c:pt idx="45">
                  <c:v>1.1850101282916949</c:v>
                </c:pt>
                <c:pt idx="46">
                  <c:v>1.0756245779878459</c:v>
                </c:pt>
                <c:pt idx="47">
                  <c:v>0.8933153274814315</c:v>
                </c:pt>
                <c:pt idx="48">
                  <c:v>1.0027008777852804</c:v>
                </c:pt>
                <c:pt idx="49">
                  <c:v>0.61985145172180967</c:v>
                </c:pt>
                <c:pt idx="50">
                  <c:v>0.82039162727886561</c:v>
                </c:pt>
                <c:pt idx="51">
                  <c:v>0.87508440243079</c:v>
                </c:pt>
                <c:pt idx="52">
                  <c:v>1.0938555030384876</c:v>
                </c:pt>
                <c:pt idx="53">
                  <c:v>1.0573936529372046</c:v>
                </c:pt>
                <c:pt idx="54">
                  <c:v>1.1485482781904119</c:v>
                </c:pt>
                <c:pt idx="55">
                  <c:v>1.3126266036461849</c:v>
                </c:pt>
                <c:pt idx="56">
                  <c:v>1.2214719783929777</c:v>
                </c:pt>
                <c:pt idx="57">
                  <c:v>1.2943956785955435</c:v>
                </c:pt>
                <c:pt idx="58">
                  <c:v>1.4220121539500339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F-4BC2-B502-31FDBE63B012}"/>
            </c:ext>
          </c:extLst>
        </c:ser>
        <c:ser>
          <c:idx val="2"/>
          <c:order val="2"/>
          <c:tx>
            <c:strRef>
              <c:f>Comp2020vs2026!$DC$6</c:f>
              <c:strCache>
                <c:ptCount val="1"/>
                <c:pt idx="0">
                  <c:v>JPNLL1_2026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Comp2020vs2026!$DC$7:$DC$69</c:f>
              <c:numCache>
                <c:formatCode>General</c:formatCode>
                <c:ptCount val="63"/>
                <c:pt idx="0">
                  <c:v>2.5035765379113015</c:v>
                </c:pt>
                <c:pt idx="1">
                  <c:v>1.9027181688125889</c:v>
                </c:pt>
                <c:pt idx="2">
                  <c:v>1.7024320457796849</c:v>
                </c:pt>
                <c:pt idx="3">
                  <c:v>1.2017167381974245</c:v>
                </c:pt>
                <c:pt idx="4">
                  <c:v>0.91130185979971368</c:v>
                </c:pt>
                <c:pt idx="5">
                  <c:v>0.46065808297567945</c:v>
                </c:pt>
                <c:pt idx="6">
                  <c:v>0.80114449213161643</c:v>
                </c:pt>
                <c:pt idx="7">
                  <c:v>0.86123032904148766</c:v>
                </c:pt>
                <c:pt idx="8">
                  <c:v>0.81115879828326165</c:v>
                </c:pt>
                <c:pt idx="9">
                  <c:v>0.54077253218884114</c:v>
                </c:pt>
                <c:pt idx="10">
                  <c:v>0.44062947067238906</c:v>
                </c:pt>
                <c:pt idx="11">
                  <c:v>0.61087267525035749</c:v>
                </c:pt>
                <c:pt idx="12">
                  <c:v>0.63090128755364794</c:v>
                </c:pt>
                <c:pt idx="13">
                  <c:v>0.62088698140200271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3F-4BC2-B502-31FDBE63B012}"/>
            </c:ext>
          </c:extLst>
        </c:ser>
        <c:ser>
          <c:idx val="3"/>
          <c:order val="3"/>
          <c:tx>
            <c:strRef>
              <c:f>Comp2020vs2026!$DD$6</c:f>
              <c:strCache>
                <c:ptCount val="1"/>
                <c:pt idx="0">
                  <c:v>JPNLL2_2026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Comp2020vs2026!$DD$7:$DD$69</c:f>
              <c:numCache>
                <c:formatCode>General</c:formatCode>
                <c:ptCount val="63"/>
                <c:pt idx="14">
                  <c:v>0.67200000000000004</c:v>
                </c:pt>
                <c:pt idx="15">
                  <c:v>0.80436363636363639</c:v>
                </c:pt>
                <c:pt idx="16">
                  <c:v>0.70254545454545447</c:v>
                </c:pt>
                <c:pt idx="17">
                  <c:v>0.81454545454545468</c:v>
                </c:pt>
                <c:pt idx="18">
                  <c:v>0.81454545454545468</c:v>
                </c:pt>
                <c:pt idx="19">
                  <c:v>0.78400000000000003</c:v>
                </c:pt>
                <c:pt idx="20">
                  <c:v>0.89600000000000002</c:v>
                </c:pt>
                <c:pt idx="21">
                  <c:v>0.77381818181818185</c:v>
                </c:pt>
                <c:pt idx="22">
                  <c:v>1.1200000000000001</c:v>
                </c:pt>
                <c:pt idx="23">
                  <c:v>1.5272727272727273</c:v>
                </c:pt>
                <c:pt idx="24">
                  <c:v>1.0181818181818183</c:v>
                </c:pt>
                <c:pt idx="25">
                  <c:v>1.5272727272727273</c:v>
                </c:pt>
                <c:pt idx="26">
                  <c:v>1.3236363636363637</c:v>
                </c:pt>
                <c:pt idx="27">
                  <c:v>1.2218181818181819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3-4098-94DE-278BCC486FFB}"/>
            </c:ext>
          </c:extLst>
        </c:ser>
        <c:ser>
          <c:idx val="4"/>
          <c:order val="4"/>
          <c:tx>
            <c:strRef>
              <c:f>Comp2020vs2026!$DE$6</c:f>
              <c:strCache>
                <c:ptCount val="1"/>
                <c:pt idx="0">
                  <c:v>JPNLL3_2026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Comp2020vs2026!$DE$7:$DE$69</c:f>
              <c:numCache>
                <c:formatCode>General</c:formatCode>
                <c:ptCount val="63"/>
                <c:pt idx="28">
                  <c:v>1.3840694006309151</c:v>
                </c:pt>
                <c:pt idx="29">
                  <c:v>2.1293375394321767</c:v>
                </c:pt>
                <c:pt idx="30">
                  <c:v>2.235804416403786</c:v>
                </c:pt>
                <c:pt idx="31">
                  <c:v>1.5970031545741328</c:v>
                </c:pt>
                <c:pt idx="32">
                  <c:v>1.7034700315457416</c:v>
                </c:pt>
                <c:pt idx="33">
                  <c:v>1.277602523659306</c:v>
                </c:pt>
                <c:pt idx="34">
                  <c:v>1.277602523659306</c:v>
                </c:pt>
                <c:pt idx="35">
                  <c:v>1.3840694006309151</c:v>
                </c:pt>
                <c:pt idx="36">
                  <c:v>1.277602523659306</c:v>
                </c:pt>
                <c:pt idx="37">
                  <c:v>1.1711356466876974</c:v>
                </c:pt>
                <c:pt idx="38">
                  <c:v>1.277602523659306</c:v>
                </c:pt>
                <c:pt idx="39">
                  <c:v>1.0646687697160884</c:v>
                </c:pt>
                <c:pt idx="40">
                  <c:v>1.0220820189274449</c:v>
                </c:pt>
                <c:pt idx="41">
                  <c:v>0.6707413249211357</c:v>
                </c:pt>
                <c:pt idx="42">
                  <c:v>0.66009463722397488</c:v>
                </c:pt>
                <c:pt idx="43">
                  <c:v>0.78785488958990546</c:v>
                </c:pt>
                <c:pt idx="44">
                  <c:v>1.3840694006309151</c:v>
                </c:pt>
                <c:pt idx="45">
                  <c:v>1.0646687697160884</c:v>
                </c:pt>
                <c:pt idx="46">
                  <c:v>0.87302839116719255</c:v>
                </c:pt>
                <c:pt idx="47">
                  <c:v>0.68138801261829662</c:v>
                </c:pt>
                <c:pt idx="48">
                  <c:v>0.8943217665615143</c:v>
                </c:pt>
                <c:pt idx="49">
                  <c:v>0.61750788643533128</c:v>
                </c:pt>
                <c:pt idx="50">
                  <c:v>0.7133280757097793</c:v>
                </c:pt>
                <c:pt idx="51">
                  <c:v>0.79850157728706639</c:v>
                </c:pt>
                <c:pt idx="52">
                  <c:v>0.8943217665615143</c:v>
                </c:pt>
                <c:pt idx="53">
                  <c:v>1.1711356466876974</c:v>
                </c:pt>
                <c:pt idx="54">
                  <c:v>1.0540220820189277</c:v>
                </c:pt>
                <c:pt idx="55">
                  <c:v>0.97949526813880139</c:v>
                </c:pt>
                <c:pt idx="56">
                  <c:v>0.61750788643533128</c:v>
                </c:pt>
                <c:pt idx="57">
                  <c:v>0.76656151419558372</c:v>
                </c:pt>
                <c:pt idx="58">
                  <c:v>0.91561514195583604</c:v>
                </c:pt>
                <c:pt idx="59">
                  <c:v>0.66009463722397488</c:v>
                </c:pt>
                <c:pt idx="60">
                  <c:v>0.57492113564668779</c:v>
                </c:pt>
                <c:pt idx="61">
                  <c:v>0.99014195583596232</c:v>
                </c:pt>
                <c:pt idx="62">
                  <c:v>1.1711356466876974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93-4098-94DE-278BCC486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6848"/>
        <c:axId val="2029732496"/>
      </c:scatterChart>
      <c:valAx>
        <c:axId val="202973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2496"/>
        <c:crosses val="autoZero"/>
        <c:crossBetween val="midCat"/>
      </c:valAx>
      <c:valAx>
        <c:axId val="2029732496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WMed: n_SPN LL 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Comp2020vs2026!$AA$6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Comp2020vs2026!$AA$7:$AA$44</c:f>
              <c:numCache>
                <c:formatCode>General</c:formatCode>
                <c:ptCount val="38"/>
                <c:pt idx="1">
                  <c:v>1.1922943351290396</c:v>
                </c:pt>
                <c:pt idx="2">
                  <c:v>0.81731505901451662</c:v>
                </c:pt>
                <c:pt idx="3">
                  <c:v>0.86395761209684885</c:v>
                </c:pt>
                <c:pt idx="4">
                  <c:v>1.0251789366123811</c:v>
                </c:pt>
                <c:pt idx="5">
                  <c:v>1.069500330234598</c:v>
                </c:pt>
                <c:pt idx="6">
                  <c:v>1.0680488440187934</c:v>
                </c:pt>
                <c:pt idx="7">
                  <c:v>1.1495391716624717</c:v>
                </c:pt>
                <c:pt idx="8">
                  <c:v>1.0914164390168979</c:v>
                </c:pt>
                <c:pt idx="9">
                  <c:v>0.95719922877816133</c:v>
                </c:pt>
                <c:pt idx="10">
                  <c:v>0.9419504791358555</c:v>
                </c:pt>
                <c:pt idx="11">
                  <c:v>1.0158294637190703</c:v>
                </c:pt>
                <c:pt idx="12">
                  <c:v>0.93581227907650522</c:v>
                </c:pt>
                <c:pt idx="13">
                  <c:v>0.86801198847598093</c:v>
                </c:pt>
                <c:pt idx="14">
                  <c:v>0.96576628922926244</c:v>
                </c:pt>
                <c:pt idx="15">
                  <c:v>1.181397590627135</c:v>
                </c:pt>
                <c:pt idx="16">
                  <c:v>1.017519932990834</c:v>
                </c:pt>
                <c:pt idx="17">
                  <c:v>0.9000949344954644</c:v>
                </c:pt>
                <c:pt idx="18">
                  <c:v>0.97760774755157842</c:v>
                </c:pt>
                <c:pt idx="19">
                  <c:v>1.0156532092554433</c:v>
                </c:pt>
                <c:pt idx="20">
                  <c:v>1.1135342620134698</c:v>
                </c:pt>
                <c:pt idx="21">
                  <c:v>1.086769541007168</c:v>
                </c:pt>
                <c:pt idx="22">
                  <c:v>0.89041344909190678</c:v>
                </c:pt>
                <c:pt idx="23">
                  <c:v>0.92637249129310595</c:v>
                </c:pt>
                <c:pt idx="24">
                  <c:v>0.97046937632738239</c:v>
                </c:pt>
                <c:pt idx="25">
                  <c:v>1.0761572004274371</c:v>
                </c:pt>
                <c:pt idx="26">
                  <c:v>0.99089941363862877</c:v>
                </c:pt>
                <c:pt idx="27">
                  <c:v>1.000898055476712</c:v>
                </c:pt>
                <c:pt idx="28">
                  <c:v>1.0013676683994743</c:v>
                </c:pt>
                <c:pt idx="29">
                  <c:v>1.0046851253111595</c:v>
                </c:pt>
                <c:pt idx="30">
                  <c:v>0.98097878183798182</c:v>
                </c:pt>
                <c:pt idx="31">
                  <c:v>0.9033607640547241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9-444D-9C7B-FCC4181906D6}"/>
            </c:ext>
          </c:extLst>
        </c:ser>
        <c:ser>
          <c:idx val="1"/>
          <c:order val="1"/>
          <c:tx>
            <c:strRef>
              <c:f>Comp2020vs2026!$AB$6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Comp2020vs2026!$AB$7:$AB$44</c:f>
              <c:numCache>
                <c:formatCode>General</c:formatCode>
                <c:ptCount val="38"/>
                <c:pt idx="1">
                  <c:v>1.6763384223836664</c:v>
                </c:pt>
                <c:pt idx="2">
                  <c:v>0.58575326514309423</c:v>
                </c:pt>
                <c:pt idx="3">
                  <c:v>0.6642652456508833</c:v>
                </c:pt>
                <c:pt idx="4">
                  <c:v>1.0421264280330225</c:v>
                </c:pt>
                <c:pt idx="5">
                  <c:v>1.1784923429698304</c:v>
                </c:pt>
                <c:pt idx="6">
                  <c:v>1.1733456524008616</c:v>
                </c:pt>
                <c:pt idx="7">
                  <c:v>1.4772855311816051</c:v>
                </c:pt>
                <c:pt idx="8">
                  <c:v>1.2480368210735158</c:v>
                </c:pt>
                <c:pt idx="9">
                  <c:v>0.85249725557358857</c:v>
                </c:pt>
                <c:pt idx="10">
                  <c:v>0.81862319243821435</c:v>
                </c:pt>
                <c:pt idx="11">
                  <c:v>1.0105762168720025</c:v>
                </c:pt>
                <c:pt idx="12">
                  <c:v>0.80034602537611421</c:v>
                </c:pt>
                <c:pt idx="13">
                  <c:v>0.66423673212972556</c:v>
                </c:pt>
                <c:pt idx="14">
                  <c:v>0.86963388178937995</c:v>
                </c:pt>
                <c:pt idx="15">
                  <c:v>1.610386647945854</c:v>
                </c:pt>
                <c:pt idx="16">
                  <c:v>1.0088083785602235</c:v>
                </c:pt>
                <c:pt idx="17">
                  <c:v>0.72391553191283886</c:v>
                </c:pt>
                <c:pt idx="18">
                  <c:v>0.89464023984470264</c:v>
                </c:pt>
                <c:pt idx="19">
                  <c:v>0.99944168685991186</c:v>
                </c:pt>
                <c:pt idx="20">
                  <c:v>1.3301272484865991</c:v>
                </c:pt>
                <c:pt idx="21">
                  <c:v>1.2399674945858803</c:v>
                </c:pt>
                <c:pt idx="22">
                  <c:v>0.71256715049206532</c:v>
                </c:pt>
                <c:pt idx="23">
                  <c:v>0.78663102169924959</c:v>
                </c:pt>
                <c:pt idx="24">
                  <c:v>0.8904344954739386</c:v>
                </c:pt>
                <c:pt idx="25">
                  <c:v>1.2135924875149871</c:v>
                </c:pt>
                <c:pt idx="26">
                  <c:v>0.94825991638179985</c:v>
                </c:pt>
                <c:pt idx="27">
                  <c:v>0.97685897810299549</c:v>
                </c:pt>
                <c:pt idx="28">
                  <c:v>0.97292411218322983</c:v>
                </c:pt>
                <c:pt idx="29">
                  <c:v>0.97993843838802963</c:v>
                </c:pt>
                <c:pt idx="30">
                  <c:v>0.91708038099583022</c:v>
                </c:pt>
                <c:pt idx="31">
                  <c:v>0.73286877755636382</c:v>
                </c:pt>
                <c:pt idx="32">
                  <c:v>0.68249964243124694</c:v>
                </c:pt>
                <c:pt idx="33">
                  <c:v>0.73226999361205158</c:v>
                </c:pt>
                <c:pt idx="34">
                  <c:v>0.94860207863569246</c:v>
                </c:pt>
                <c:pt idx="35">
                  <c:v>0.8718721932002611</c:v>
                </c:pt>
                <c:pt idx="36">
                  <c:v>0.8668252999553443</c:v>
                </c:pt>
                <c:pt idx="37">
                  <c:v>0.96695052950068694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89-444D-9C7B-FCC41819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47184"/>
        <c:axId val="2029737936"/>
      </c:scatterChart>
      <c:valAx>
        <c:axId val="202974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7936"/>
        <c:crosses val="autoZero"/>
        <c:crossBetween val="midCat"/>
      </c:valAx>
      <c:valAx>
        <c:axId val="20297379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7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WMed: w_SPN LL index 2020 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Comp2020vs2026!$AG$6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Comp2020vs2026!$AG$7:$AG$44</c:f>
              <c:numCache>
                <c:formatCode>General</c:formatCode>
                <c:ptCount val="38"/>
                <c:pt idx="1">
                  <c:v>1.2582017109098749</c:v>
                </c:pt>
                <c:pt idx="2">
                  <c:v>1.1374814076182398</c:v>
                </c:pt>
                <c:pt idx="3">
                  <c:v>1.226651671095045</c:v>
                </c:pt>
                <c:pt idx="4">
                  <c:v>0.8458048512459575</c:v>
                </c:pt>
                <c:pt idx="5">
                  <c:v>0.73074332944307185</c:v>
                </c:pt>
                <c:pt idx="6">
                  <c:v>0.96844437877460232</c:v>
                </c:pt>
                <c:pt idx="7">
                  <c:v>1.1865333088631838</c:v>
                </c:pt>
                <c:pt idx="8">
                  <c:v>0.94738557124708411</c:v>
                </c:pt>
                <c:pt idx="9">
                  <c:v>0.80813182895170799</c:v>
                </c:pt>
                <c:pt idx="10">
                  <c:v>0.82713107998888691</c:v>
                </c:pt>
                <c:pt idx="11">
                  <c:v>0.92348627687321894</c:v>
                </c:pt>
                <c:pt idx="12">
                  <c:v>0.85976637090520658</c:v>
                </c:pt>
                <c:pt idx="13">
                  <c:v>1.2089537084233359</c:v>
                </c:pt>
                <c:pt idx="14">
                  <c:v>0.84374910517568635</c:v>
                </c:pt>
                <c:pt idx="15">
                  <c:v>1.2643323659726953</c:v>
                </c:pt>
                <c:pt idx="16">
                  <c:v>0.80587071123153786</c:v>
                </c:pt>
                <c:pt idx="17">
                  <c:v>0.60334888676888798</c:v>
                </c:pt>
                <c:pt idx="18">
                  <c:v>0.83000365137115095</c:v>
                </c:pt>
                <c:pt idx="19">
                  <c:v>1.1097866834743035</c:v>
                </c:pt>
                <c:pt idx="20">
                  <c:v>1.1824283103660431</c:v>
                </c:pt>
                <c:pt idx="21">
                  <c:v>1.5051766825490902</c:v>
                </c:pt>
                <c:pt idx="22">
                  <c:v>0.96606251787798147</c:v>
                </c:pt>
                <c:pt idx="23">
                  <c:v>1.0506513437928495</c:v>
                </c:pt>
                <c:pt idx="24">
                  <c:v>1.011168925452032</c:v>
                </c:pt>
                <c:pt idx="25">
                  <c:v>1.2974885802525209</c:v>
                </c:pt>
                <c:pt idx="26">
                  <c:v>0.87037699750114694</c:v>
                </c:pt>
                <c:pt idx="27">
                  <c:v>0.93726435669091568</c:v>
                </c:pt>
                <c:pt idx="28">
                  <c:v>0.84743725260242853</c:v>
                </c:pt>
                <c:pt idx="29">
                  <c:v>0.69713403218847492</c:v>
                </c:pt>
                <c:pt idx="30">
                  <c:v>1.2024449605296537</c:v>
                </c:pt>
                <c:pt idx="31">
                  <c:v>1.0465591418631872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A-442B-954E-69A9AC196BE3}"/>
            </c:ext>
          </c:extLst>
        </c:ser>
        <c:ser>
          <c:idx val="1"/>
          <c:order val="1"/>
          <c:tx>
            <c:strRef>
              <c:f>Comp2020vs2026!$AH$6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Comp2020vs2026!$R$7:$R$44</c:f>
              <c:numCache>
                <c:formatCode>General</c:formatCode>
                <c:ptCount val="38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>
                  <c:v>2004</c:v>
                </c:pt>
                <c:pt idx="18">
                  <c:v>2005</c:v>
                </c:pt>
                <c:pt idx="19">
                  <c:v>2006</c:v>
                </c:pt>
                <c:pt idx="20">
                  <c:v>2007</c:v>
                </c:pt>
                <c:pt idx="21">
                  <c:v>2008</c:v>
                </c:pt>
                <c:pt idx="22">
                  <c:v>2009</c:v>
                </c:pt>
                <c:pt idx="23">
                  <c:v>2010</c:v>
                </c:pt>
                <c:pt idx="24">
                  <c:v>2011</c:v>
                </c:pt>
                <c:pt idx="25">
                  <c:v>2012</c:v>
                </c:pt>
                <c:pt idx="26">
                  <c:v>2013</c:v>
                </c:pt>
                <c:pt idx="27">
                  <c:v>2014</c:v>
                </c:pt>
                <c:pt idx="28">
                  <c:v>2015</c:v>
                </c:pt>
                <c:pt idx="29">
                  <c:v>2016</c:v>
                </c:pt>
                <c:pt idx="30">
                  <c:v>2017</c:v>
                </c:pt>
                <c:pt idx="31">
                  <c:v>2018</c:v>
                </c:pt>
                <c:pt idx="32">
                  <c:v>2019</c:v>
                </c:pt>
                <c:pt idx="33">
                  <c:v>2020</c:v>
                </c:pt>
                <c:pt idx="34">
                  <c:v>2021</c:v>
                </c:pt>
                <c:pt idx="35">
                  <c:v>2022</c:v>
                </c:pt>
                <c:pt idx="36">
                  <c:v>2023</c:v>
                </c:pt>
                <c:pt idx="37">
                  <c:v>2024</c:v>
                </c:pt>
              </c:numCache>
            </c:numRef>
          </c:xVal>
          <c:yVal>
            <c:numRef>
              <c:f>Comp2020vs2026!$AH$7:$AH$44</c:f>
              <c:numCache>
                <c:formatCode>General</c:formatCode>
                <c:ptCount val="38"/>
                <c:pt idx="1">
                  <c:v>1.272839872587797</c:v>
                </c:pt>
                <c:pt idx="2">
                  <c:v>1.1424741427481377</c:v>
                </c:pt>
                <c:pt idx="3">
                  <c:v>1.2094874419860036</c:v>
                </c:pt>
                <c:pt idx="4">
                  <c:v>0.85847171524076471</c:v>
                </c:pt>
                <c:pt idx="5">
                  <c:v>0.7350277792094928</c:v>
                </c:pt>
                <c:pt idx="6">
                  <c:v>0.97049548345545278</c:v>
                </c:pt>
                <c:pt idx="7">
                  <c:v>1.187344037537204</c:v>
                </c:pt>
                <c:pt idx="8">
                  <c:v>0.93294138618411837</c:v>
                </c:pt>
                <c:pt idx="9">
                  <c:v>0.79972853406286293</c:v>
                </c:pt>
                <c:pt idx="10">
                  <c:v>0.81764580324735958</c:v>
                </c:pt>
                <c:pt idx="11">
                  <c:v>0.92066094393682962</c:v>
                </c:pt>
                <c:pt idx="12">
                  <c:v>0.85013131008692289</c:v>
                </c:pt>
                <c:pt idx="13">
                  <c:v>1.2027873990090063</c:v>
                </c:pt>
                <c:pt idx="14">
                  <c:v>0.82785723104105435</c:v>
                </c:pt>
                <c:pt idx="15">
                  <c:v>1.2404919700587838</c:v>
                </c:pt>
                <c:pt idx="16">
                  <c:v>0.79972457422658816</c:v>
                </c:pt>
                <c:pt idx="17">
                  <c:v>0.59510597447962155</c:v>
                </c:pt>
                <c:pt idx="18">
                  <c:v>0.80886684622608118</c:v>
                </c:pt>
                <c:pt idx="19">
                  <c:v>1.0750896088595077</c:v>
                </c:pt>
                <c:pt idx="20">
                  <c:v>1.1739637507645837</c:v>
                </c:pt>
                <c:pt idx="21">
                  <c:v>1.5183279425271918</c:v>
                </c:pt>
                <c:pt idx="22">
                  <c:v>0.98033072680303956</c:v>
                </c:pt>
                <c:pt idx="23">
                  <c:v>1.0513345510468561</c:v>
                </c:pt>
                <c:pt idx="24">
                  <c:v>1.0097424107342732</c:v>
                </c:pt>
                <c:pt idx="25">
                  <c:v>1.3369139833506769</c:v>
                </c:pt>
                <c:pt idx="26">
                  <c:v>0.88357608726406156</c:v>
                </c:pt>
                <c:pt idx="27">
                  <c:v>0.95466900782406161</c:v>
                </c:pt>
                <c:pt idx="28">
                  <c:v>0.85262996677633485</c:v>
                </c:pt>
                <c:pt idx="29">
                  <c:v>0.69890318283336883</c:v>
                </c:pt>
                <c:pt idx="30">
                  <c:v>1.2337701479822749</c:v>
                </c:pt>
                <c:pt idx="31">
                  <c:v>1.0586661879096873</c:v>
                </c:pt>
                <c:pt idx="32">
                  <c:v>0.78410203016335023</c:v>
                </c:pt>
                <c:pt idx="33">
                  <c:v>0.77110881738659365</c:v>
                </c:pt>
                <c:pt idx="34">
                  <c:v>0.92665118626156517</c:v>
                </c:pt>
                <c:pt idx="35">
                  <c:v>0.90953578392271972</c:v>
                </c:pt>
                <c:pt idx="36">
                  <c:v>0.98399456531631768</c:v>
                </c:pt>
                <c:pt idx="37">
                  <c:v>0.7207594991522438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A-442B-954E-69A9AC19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9024"/>
        <c:axId val="2029735216"/>
      </c:scatterChart>
      <c:valAx>
        <c:axId val="2029739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5216"/>
        <c:crosses val="autoZero"/>
        <c:crossBetween val="midCat"/>
      </c:valAx>
      <c:valAx>
        <c:axId val="20297352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n_SPN LL index 2022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en-US"/>
              <a:t>vs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Comp2020vs2026!$CL$6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Comp2020vs2026!$CC$7:$CC$42</c:f>
              <c:numCache>
                <c:formatCode>General</c:formatCod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numCache>
            </c:numRef>
          </c:xVal>
          <c:yVal>
            <c:numRef>
              <c:f>Comp2020vs2026!$CL$7:$CL$42</c:f>
              <c:numCache>
                <c:formatCode>General</c:formatCode>
                <c:ptCount val="36"/>
                <c:pt idx="0">
                  <c:v>1.2426306482125824</c:v>
                </c:pt>
                <c:pt idx="1">
                  <c:v>0.91265799777252177</c:v>
                </c:pt>
                <c:pt idx="2">
                  <c:v>0.92205110554102665</c:v>
                </c:pt>
                <c:pt idx="3">
                  <c:v>0.83322646280649271</c:v>
                </c:pt>
                <c:pt idx="4">
                  <c:v>0.75099144644494065</c:v>
                </c:pt>
                <c:pt idx="5">
                  <c:v>0.91058363173525336</c:v>
                </c:pt>
                <c:pt idx="6">
                  <c:v>1.07588787752591</c:v>
                </c:pt>
                <c:pt idx="7">
                  <c:v>0.9482703565681343</c:v>
                </c:pt>
                <c:pt idx="8">
                  <c:v>0.91914121271483951</c:v>
                </c:pt>
                <c:pt idx="9">
                  <c:v>0.91121815915513982</c:v>
                </c:pt>
                <c:pt idx="10">
                  <c:v>0.94548920843583706</c:v>
                </c:pt>
                <c:pt idx="11">
                  <c:v>1.1602800243708027</c:v>
                </c:pt>
                <c:pt idx="12">
                  <c:v>0.98676896120534185</c:v>
                </c:pt>
                <c:pt idx="13">
                  <c:v>0.93210895632084101</c:v>
                </c:pt>
                <c:pt idx="14">
                  <c:v>0.85407784833120726</c:v>
                </c:pt>
                <c:pt idx="15">
                  <c:v>0.86676182812210434</c:v>
                </c:pt>
                <c:pt idx="16">
                  <c:v>1.0297683752432345</c:v>
                </c:pt>
                <c:pt idx="17">
                  <c:v>1.0317783689335578</c:v>
                </c:pt>
                <c:pt idx="18">
                  <c:v>0.99587436399464357</c:v>
                </c:pt>
                <c:pt idx="19">
                  <c:v>0.94161373040547502</c:v>
                </c:pt>
                <c:pt idx="20">
                  <c:v>1.0244425488245605</c:v>
                </c:pt>
                <c:pt idx="21">
                  <c:v>1.0301940209658911</c:v>
                </c:pt>
                <c:pt idx="22">
                  <c:v>0.98967754031016275</c:v>
                </c:pt>
                <c:pt idx="23">
                  <c:v>1.0508207601369812</c:v>
                </c:pt>
                <c:pt idx="24">
                  <c:v>1.0348748101937488</c:v>
                </c:pt>
                <c:pt idx="25">
                  <c:v>1.0364880600314725</c:v>
                </c:pt>
                <c:pt idx="26">
                  <c:v>1.1394930111930333</c:v>
                </c:pt>
                <c:pt idx="27">
                  <c:v>1.2146891084743545</c:v>
                </c:pt>
                <c:pt idx="28">
                  <c:v>1.1899464802628832</c:v>
                </c:pt>
                <c:pt idx="29">
                  <c:v>1.0480172787414583</c:v>
                </c:pt>
                <c:pt idx="30">
                  <c:v>1.0701758170255662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D-48FF-A0AE-630DD3FB19F7}"/>
            </c:ext>
          </c:extLst>
        </c:ser>
        <c:ser>
          <c:idx val="2"/>
          <c:order val="1"/>
          <c:tx>
            <c:strRef>
              <c:f>Comp2020vs2026!$CM$6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Comp2020vs2026!$CC$7:$CC$42</c:f>
              <c:numCache>
                <c:formatCode>General</c:formatCode>
                <c:ptCount val="36"/>
                <c:pt idx="0">
                  <c:v>1989</c:v>
                </c:pt>
                <c:pt idx="1">
                  <c:v>1990</c:v>
                </c:pt>
                <c:pt idx="2">
                  <c:v>1991</c:v>
                </c:pt>
                <c:pt idx="3">
                  <c:v>1992</c:v>
                </c:pt>
                <c:pt idx="4">
                  <c:v>1993</c:v>
                </c:pt>
                <c:pt idx="5">
                  <c:v>1994</c:v>
                </c:pt>
                <c:pt idx="6">
                  <c:v>1995</c:v>
                </c:pt>
                <c:pt idx="7">
                  <c:v>1996</c:v>
                </c:pt>
                <c:pt idx="8">
                  <c:v>1997</c:v>
                </c:pt>
                <c:pt idx="9">
                  <c:v>1998</c:v>
                </c:pt>
                <c:pt idx="10">
                  <c:v>1999</c:v>
                </c:pt>
                <c:pt idx="11">
                  <c:v>2000</c:v>
                </c:pt>
                <c:pt idx="12">
                  <c:v>2001</c:v>
                </c:pt>
                <c:pt idx="13">
                  <c:v>2002</c:v>
                </c:pt>
                <c:pt idx="14">
                  <c:v>2003</c:v>
                </c:pt>
                <c:pt idx="15">
                  <c:v>2004</c:v>
                </c:pt>
                <c:pt idx="16">
                  <c:v>2005</c:v>
                </c:pt>
                <c:pt idx="17">
                  <c:v>2006</c:v>
                </c:pt>
                <c:pt idx="18">
                  <c:v>2007</c:v>
                </c:pt>
                <c:pt idx="19">
                  <c:v>2008</c:v>
                </c:pt>
                <c:pt idx="20">
                  <c:v>2009</c:v>
                </c:pt>
                <c:pt idx="21">
                  <c:v>2010</c:v>
                </c:pt>
                <c:pt idx="22">
                  <c:v>2011</c:v>
                </c:pt>
                <c:pt idx="23">
                  <c:v>2012</c:v>
                </c:pt>
                <c:pt idx="24">
                  <c:v>2013</c:v>
                </c:pt>
                <c:pt idx="25">
                  <c:v>2014</c:v>
                </c:pt>
                <c:pt idx="26">
                  <c:v>2015</c:v>
                </c:pt>
                <c:pt idx="27">
                  <c:v>2016</c:v>
                </c:pt>
                <c:pt idx="28">
                  <c:v>2017</c:v>
                </c:pt>
                <c:pt idx="29">
                  <c:v>2018</c:v>
                </c:pt>
                <c:pt idx="30">
                  <c:v>2019</c:v>
                </c:pt>
                <c:pt idx="31">
                  <c:v>2020</c:v>
                </c:pt>
                <c:pt idx="32">
                  <c:v>2021</c:v>
                </c:pt>
                <c:pt idx="33">
                  <c:v>2022</c:v>
                </c:pt>
                <c:pt idx="34">
                  <c:v>2023</c:v>
                </c:pt>
                <c:pt idx="35">
                  <c:v>2024</c:v>
                </c:pt>
              </c:numCache>
            </c:numRef>
          </c:xVal>
          <c:yVal>
            <c:numRef>
              <c:f>Comp2020vs2026!$CM$7:$CM$42</c:f>
              <c:numCache>
                <c:formatCode>General</c:formatCode>
                <c:ptCount val="36"/>
                <c:pt idx="0">
                  <c:v>1.1340310561199862</c:v>
                </c:pt>
                <c:pt idx="1">
                  <c:v>0.85776344136656335</c:v>
                </c:pt>
                <c:pt idx="2">
                  <c:v>0.87225551252016054</c:v>
                </c:pt>
                <c:pt idx="3">
                  <c:v>0.78610362242915821</c:v>
                </c:pt>
                <c:pt idx="4">
                  <c:v>0.71114747536583356</c:v>
                </c:pt>
                <c:pt idx="5">
                  <c:v>0.86761710794297342</c:v>
                </c:pt>
                <c:pt idx="6">
                  <c:v>1.0208845931977912</c:v>
                </c:pt>
                <c:pt idx="7">
                  <c:v>0.89246906749231825</c:v>
                </c:pt>
                <c:pt idx="8">
                  <c:v>0.89669543105376537</c:v>
                </c:pt>
                <c:pt idx="9">
                  <c:v>0.88432242798111671</c:v>
                </c:pt>
                <c:pt idx="10">
                  <c:v>0.92650365539243951</c:v>
                </c:pt>
                <c:pt idx="11">
                  <c:v>1.1520902252098464</c:v>
                </c:pt>
                <c:pt idx="12">
                  <c:v>0.99407838197379417</c:v>
                </c:pt>
                <c:pt idx="13">
                  <c:v>0.94031291571995335</c:v>
                </c:pt>
                <c:pt idx="14">
                  <c:v>0.86794674075556544</c:v>
                </c:pt>
                <c:pt idx="15">
                  <c:v>0.88174422848262946</c:v>
                </c:pt>
                <c:pt idx="16">
                  <c:v>1.0490211082726062</c:v>
                </c:pt>
                <c:pt idx="17">
                  <c:v>1.0428522656369563</c:v>
                </c:pt>
                <c:pt idx="18">
                  <c:v>1.013632671320768</c:v>
                </c:pt>
                <c:pt idx="19">
                  <c:v>0.96324594139599484</c:v>
                </c:pt>
                <c:pt idx="20">
                  <c:v>1.0482912070447241</c:v>
                </c:pt>
                <c:pt idx="21">
                  <c:v>1.0605700293137752</c:v>
                </c:pt>
                <c:pt idx="22">
                  <c:v>1.0219912176400645</c:v>
                </c:pt>
                <c:pt idx="23">
                  <c:v>1.0866581119103398</c:v>
                </c:pt>
                <c:pt idx="24">
                  <c:v>1.0631246836113628</c:v>
                </c:pt>
                <c:pt idx="25">
                  <c:v>1.0732491199981162</c:v>
                </c:pt>
                <c:pt idx="26">
                  <c:v>1.1697608984848662</c:v>
                </c:pt>
                <c:pt idx="27">
                  <c:v>1.2472246094439801</c:v>
                </c:pt>
                <c:pt idx="28">
                  <c:v>1.2322616342723942</c:v>
                </c:pt>
                <c:pt idx="29">
                  <c:v>1.0986543917685976</c:v>
                </c:pt>
                <c:pt idx="30">
                  <c:v>1.1434962268815558</c:v>
                </c:pt>
                <c:pt idx="31">
                  <c:v>0.99997645479910047</c:v>
                </c:pt>
                <c:pt idx="32">
                  <c:v>1.0869524269215827</c:v>
                </c:pt>
                <c:pt idx="33">
                  <c:v>1.0357769327666786</c:v>
                </c:pt>
                <c:pt idx="34">
                  <c:v>1.270263588524069</c:v>
                </c:pt>
                <c:pt idx="35">
                  <c:v>1.1461921523845402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D-48FF-A0AE-630DD3FB1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9568"/>
        <c:axId val="2029740112"/>
      </c:scatterChart>
      <c:valAx>
        <c:axId val="202973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0112"/>
        <c:crosses val="autoZero"/>
        <c:crossBetween val="midCat"/>
      </c:valAx>
      <c:valAx>
        <c:axId val="202974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9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SATL: CTP LL</a:t>
            </a:r>
            <a:r>
              <a:rPr lang="en-US" baseline="0"/>
              <a:t> </a:t>
            </a:r>
            <a:r>
              <a:rPr lang="en-US"/>
              <a:t>index 2022 vs 2026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Comp2020vs2026!$DK$6</c:f>
              <c:strCache>
                <c:ptCount val="1"/>
                <c:pt idx="0">
                  <c:v>CTPLL1_2022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Comp2020vs2026!$DK$7:$DK$69</c:f>
              <c:numCache>
                <c:formatCode>General</c:formatCode>
                <c:ptCount val="63"/>
                <c:pt idx="6">
                  <c:v>1.1968738989211658</c:v>
                </c:pt>
                <c:pt idx="7">
                  <c:v>0.87408502540169686</c:v>
                </c:pt>
                <c:pt idx="8">
                  <c:v>0.84142004795050152</c:v>
                </c:pt>
                <c:pt idx="9">
                  <c:v>0.90319253631902696</c:v>
                </c:pt>
                <c:pt idx="10">
                  <c:v>0.89958483545477785</c:v>
                </c:pt>
                <c:pt idx="11">
                  <c:v>1.1967650636928757</c:v>
                </c:pt>
                <c:pt idx="12">
                  <c:v>0.9877109533660634</c:v>
                </c:pt>
                <c:pt idx="13">
                  <c:v>1.0344110320099948</c:v>
                </c:pt>
                <c:pt idx="14">
                  <c:v>0.99780461260313968</c:v>
                </c:pt>
                <c:pt idx="15">
                  <c:v>0.89565302108797729</c:v>
                </c:pt>
                <c:pt idx="16">
                  <c:v>0.89512610293736461</c:v>
                </c:pt>
                <c:pt idx="17">
                  <c:v>1.0409193927299683</c:v>
                </c:pt>
                <c:pt idx="18">
                  <c:v>0.92034407162474374</c:v>
                </c:pt>
                <c:pt idx="19">
                  <c:v>0.8748597113145048</c:v>
                </c:pt>
                <c:pt idx="20">
                  <c:v>0.87615885748604694</c:v>
                </c:pt>
                <c:pt idx="21">
                  <c:v>1.0556928226765905</c:v>
                </c:pt>
                <c:pt idx="22">
                  <c:v>1.1574150986255152</c:v>
                </c:pt>
                <c:pt idx="23">
                  <c:v>1.0175660779518503</c:v>
                </c:pt>
                <c:pt idx="24">
                  <c:v>0.92459809715806507</c:v>
                </c:pt>
                <c:pt idx="25">
                  <c:v>0.96780156660203187</c:v>
                </c:pt>
                <c:pt idx="26">
                  <c:v>1.2126156859179174</c:v>
                </c:pt>
                <c:pt idx="27">
                  <c:v>1.2229275179518106</c:v>
                </c:pt>
                <c:pt idx="28">
                  <c:v>1.0064739702163703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2-46C3-9C50-E0EABF3CDB54}"/>
            </c:ext>
          </c:extLst>
        </c:ser>
        <c:ser>
          <c:idx val="1"/>
          <c:order val="1"/>
          <c:tx>
            <c:strRef>
              <c:f>Comp2020vs2026!$DL$6</c:f>
              <c:strCache>
                <c:ptCount val="1"/>
                <c:pt idx="0">
                  <c:v>CTPLL2_2022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Comp2020vs2026!$DL$7:$DL$69</c:f>
              <c:numCache>
                <c:formatCode>General</c:formatCode>
                <c:ptCount val="63"/>
                <c:pt idx="36">
                  <c:v>1.7642403447675785</c:v>
                </c:pt>
                <c:pt idx="37">
                  <c:v>1.2138882141990774</c:v>
                </c:pt>
                <c:pt idx="38">
                  <c:v>1.4842608283187391</c:v>
                </c:pt>
                <c:pt idx="39">
                  <c:v>1.1943086034623847</c:v>
                </c:pt>
                <c:pt idx="40">
                  <c:v>1.1956310901343725</c:v>
                </c:pt>
                <c:pt idx="41">
                  <c:v>1.1670781437797251</c:v>
                </c:pt>
                <c:pt idx="42">
                  <c:v>0.88279090171990804</c:v>
                </c:pt>
                <c:pt idx="43">
                  <c:v>0.8340486157355641</c:v>
                </c:pt>
                <c:pt idx="44">
                  <c:v>1.1939772166727922</c:v>
                </c:pt>
                <c:pt idx="45">
                  <c:v>0.9281076682728745</c:v>
                </c:pt>
                <c:pt idx="46">
                  <c:v>1.0979659741593151</c:v>
                </c:pt>
                <c:pt idx="47">
                  <c:v>0.89674893309748294</c:v>
                </c:pt>
                <c:pt idx="48">
                  <c:v>0.73955093128704275</c:v>
                </c:pt>
                <c:pt idx="49">
                  <c:v>0.78782567957502414</c:v>
                </c:pt>
                <c:pt idx="50">
                  <c:v>0.7698008835611132</c:v>
                </c:pt>
                <c:pt idx="51">
                  <c:v>1.0549734934412904</c:v>
                </c:pt>
                <c:pt idx="52">
                  <c:v>0.85332521385345472</c:v>
                </c:pt>
                <c:pt idx="53">
                  <c:v>0.88814693800362954</c:v>
                </c:pt>
                <c:pt idx="54">
                  <c:v>0.91767409591221016</c:v>
                </c:pt>
                <c:pt idx="55">
                  <c:v>0.84723869475634528</c:v>
                </c:pt>
                <c:pt idx="56">
                  <c:v>0.74491599624269411</c:v>
                </c:pt>
                <c:pt idx="57">
                  <c:v>0.71301651126453858</c:v>
                </c:pt>
                <c:pt idx="58">
                  <c:v>0.83048502778284328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2-46C3-9C50-E0EABF3CDB54}"/>
            </c:ext>
          </c:extLst>
        </c:ser>
        <c:ser>
          <c:idx val="2"/>
          <c:order val="2"/>
          <c:tx>
            <c:strRef>
              <c:f>Comp2020vs2026!$DM$6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Comp2020vs2026!$CU$7:$CU$69</c:f>
              <c:numCache>
                <c:formatCode>General</c:formatCode>
                <c:ptCount val="63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  <c:pt idx="52">
                  <c:v>2014</c:v>
                </c:pt>
                <c:pt idx="53">
                  <c:v>2015</c:v>
                </c:pt>
                <c:pt idx="54">
                  <c:v>2016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  <c:pt idx="59">
                  <c:v>2021</c:v>
                </c:pt>
                <c:pt idx="60">
                  <c:v>2022</c:v>
                </c:pt>
                <c:pt idx="61">
                  <c:v>2023</c:v>
                </c:pt>
                <c:pt idx="62">
                  <c:v>2024</c:v>
                </c:pt>
              </c:numCache>
            </c:numRef>
          </c:xVal>
          <c:yVal>
            <c:numRef>
              <c:f>Comp2020vs2026!$DM$7:$DM$69</c:f>
              <c:numCache>
                <c:formatCode>General</c:formatCode>
                <c:ptCount val="63"/>
                <c:pt idx="32">
                  <c:v>2.9475921897587902</c:v>
                </c:pt>
                <c:pt idx="33">
                  <c:v>1.9959337091418152</c:v>
                </c:pt>
                <c:pt idx="34">
                  <c:v>2.198082063257643</c:v>
                </c:pt>
                <c:pt idx="35">
                  <c:v>1.3619903197860594</c:v>
                </c:pt>
                <c:pt idx="36">
                  <c:v>1.0118998298014874</c:v>
                </c:pt>
                <c:pt idx="37">
                  <c:v>0.93323604348153233</c:v>
                </c:pt>
                <c:pt idx="38">
                  <c:v>1.1347559839088457</c:v>
                </c:pt>
                <c:pt idx="39">
                  <c:v>0.94041335608919285</c:v>
                </c:pt>
                <c:pt idx="40">
                  <c:v>0.97022598015791217</c:v>
                </c:pt>
                <c:pt idx="41">
                  <c:v>0.85723753680406345</c:v>
                </c:pt>
                <c:pt idx="42">
                  <c:v>0.69451242829422943</c:v>
                </c:pt>
                <c:pt idx="43">
                  <c:v>0.68534962724501081</c:v>
                </c:pt>
                <c:pt idx="44">
                  <c:v>1.5836860798884849</c:v>
                </c:pt>
                <c:pt idx="45">
                  <c:v>1.0967321551312006</c:v>
                </c:pt>
                <c:pt idx="46">
                  <c:v>1.4739126983156989</c:v>
                </c:pt>
                <c:pt idx="47">
                  <c:v>1.1162459201121717</c:v>
                </c:pt>
                <c:pt idx="48">
                  <c:v>0.77667046885138191</c:v>
                </c:pt>
                <c:pt idx="49">
                  <c:v>0.76384300616833012</c:v>
                </c:pt>
                <c:pt idx="50">
                  <c:v>0.80778968632477433</c:v>
                </c:pt>
                <c:pt idx="51">
                  <c:v>1.1183773044937479</c:v>
                </c:pt>
                <c:pt idx="52">
                  <c:v>0.84922434780732703</c:v>
                </c:pt>
                <c:pt idx="53">
                  <c:v>1.0541834920433302</c:v>
                </c:pt>
                <c:pt idx="54">
                  <c:v>1.0621849854139602</c:v>
                </c:pt>
                <c:pt idx="55">
                  <c:v>0.91252564162258532</c:v>
                </c:pt>
                <c:pt idx="56">
                  <c:v>1.0597479773867109</c:v>
                </c:pt>
                <c:pt idx="57">
                  <c:v>0.89828923738034949</c:v>
                </c:pt>
                <c:pt idx="58">
                  <c:v>1.1989562132776701</c:v>
                </c:pt>
                <c:pt idx="59">
                  <c:v>1.8850531205976619</c:v>
                </c:pt>
                <c:pt idx="60">
                  <c:v>1.7036930731830637</c:v>
                </c:pt>
                <c:pt idx="61">
                  <c:v>1.5140997250250881</c:v>
                </c:pt>
                <c:pt idx="62">
                  <c:v>1.6751197738225836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22-46C3-9C50-E0EABF3CD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33040"/>
        <c:axId val="2029745008"/>
      </c:scatterChart>
      <c:valAx>
        <c:axId val="202973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45008"/>
        <c:crosses val="autoZero"/>
        <c:crossBetween val="midCat"/>
      </c:valAx>
      <c:valAx>
        <c:axId val="2029745008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Scaled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33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JointLL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Comp2020vs2026!$DR$6</c:f>
              <c:strCache>
                <c:ptCount val="1"/>
                <c:pt idx="0">
                  <c:v>atDP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Comp2020vs2026!$DQ$7:$DQ$37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Comp2020vs2026!$DR$7:$DR$37</c:f>
              <c:numCache>
                <c:formatCode>General</c:formatCode>
                <c:ptCount val="31"/>
                <c:pt idx="0">
                  <c:v>9.6784010011671597</c:v>
                </c:pt>
                <c:pt idx="1">
                  <c:v>8.4363387777439307</c:v>
                </c:pt>
                <c:pt idx="2">
                  <c:v>9.1710564131821002</c:v>
                </c:pt>
                <c:pt idx="3">
                  <c:v>7.59443790805964</c:v>
                </c:pt>
                <c:pt idx="4">
                  <c:v>8.7230603392698001</c:v>
                </c:pt>
                <c:pt idx="5">
                  <c:v>6.1909224785880603</c:v>
                </c:pt>
                <c:pt idx="6">
                  <c:v>7.01197825404157</c:v>
                </c:pt>
                <c:pt idx="7">
                  <c:v>6.2507339775408903</c:v>
                </c:pt>
                <c:pt idx="8">
                  <c:v>4.6569675957958996</c:v>
                </c:pt>
                <c:pt idx="9">
                  <c:v>6.2041867678620104</c:v>
                </c:pt>
                <c:pt idx="10">
                  <c:v>5.39075265071705</c:v>
                </c:pt>
                <c:pt idx="11">
                  <c:v>5.2772170728013696</c:v>
                </c:pt>
                <c:pt idx="12">
                  <c:v>7.8315231232147999</c:v>
                </c:pt>
                <c:pt idx="13">
                  <c:v>8.20911336494928</c:v>
                </c:pt>
                <c:pt idx="14">
                  <c:v>8.4154817436985798</c:v>
                </c:pt>
                <c:pt idx="15">
                  <c:v>6.6643837740710499</c:v>
                </c:pt>
                <c:pt idx="16">
                  <c:v>5.3863831844990404</c:v>
                </c:pt>
                <c:pt idx="17">
                  <c:v>4.5953535934882002</c:v>
                </c:pt>
                <c:pt idx="18">
                  <c:v>5.0103946373239703</c:v>
                </c:pt>
                <c:pt idx="19">
                  <c:v>6.4501486287169998</c:v>
                </c:pt>
                <c:pt idx="20">
                  <c:v>5.1642473915368798</c:v>
                </c:pt>
                <c:pt idx="21">
                  <c:v>6.0779396428308203</c:v>
                </c:pt>
                <c:pt idx="22">
                  <c:v>5.5996063875635302</c:v>
                </c:pt>
                <c:pt idx="23">
                  <c:v>5.1546112974337399</c:v>
                </c:pt>
                <c:pt idx="24">
                  <c:v>6.3867322963796598</c:v>
                </c:pt>
                <c:pt idx="25">
                  <c:v>5.1978342080958999</c:v>
                </c:pt>
                <c:pt idx="26">
                  <c:v>5.1558841953670598</c:v>
                </c:pt>
                <c:pt idx="27">
                  <c:v>5.4082688263210397</c:v>
                </c:pt>
                <c:pt idx="28">
                  <c:v>6.0171015593729198</c:v>
                </c:pt>
                <c:pt idx="29">
                  <c:v>7.3382240660437601</c:v>
                </c:pt>
                <c:pt idx="30">
                  <c:v>6.5342981976618297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5-4B7F-9B80-909F26F32191}"/>
            </c:ext>
          </c:extLst>
        </c:ser>
        <c:ser>
          <c:idx val="1"/>
          <c:order val="1"/>
          <c:tx>
            <c:strRef>
              <c:f>Comp2020vs2026!$DS$6</c:f>
              <c:strCache>
                <c:ptCount val="1"/>
                <c:pt idx="0">
                  <c:v>afterDP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Comp2020vs2026!$DQ$7:$DQ$37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Comp2020vs2026!$DS$7:$DS$37</c:f>
              <c:numCache>
                <c:formatCode>General</c:formatCode>
                <c:ptCount val="31"/>
                <c:pt idx="0">
                  <c:v>9.3203949999999995</c:v>
                </c:pt>
                <c:pt idx="1">
                  <c:v>8.2203470000000003</c:v>
                </c:pt>
                <c:pt idx="2">
                  <c:v>8.7621029999999998</c:v>
                </c:pt>
                <c:pt idx="3">
                  <c:v>7.3664690000000004</c:v>
                </c:pt>
                <c:pt idx="4">
                  <c:v>8.628698</c:v>
                </c:pt>
                <c:pt idx="5">
                  <c:v>6.1147470000000004</c:v>
                </c:pt>
                <c:pt idx="6">
                  <c:v>6.8952159999999996</c:v>
                </c:pt>
                <c:pt idx="7">
                  <c:v>6.1723359999999996</c:v>
                </c:pt>
                <c:pt idx="8">
                  <c:v>4.6430639999999999</c:v>
                </c:pt>
                <c:pt idx="9">
                  <c:v>6.1821510000000002</c:v>
                </c:pt>
                <c:pt idx="10">
                  <c:v>5.494389</c:v>
                </c:pt>
                <c:pt idx="11">
                  <c:v>5.4619790000000004</c:v>
                </c:pt>
                <c:pt idx="12">
                  <c:v>7.6629709999999998</c:v>
                </c:pt>
                <c:pt idx="13">
                  <c:v>8.0987469999999995</c:v>
                </c:pt>
                <c:pt idx="14">
                  <c:v>8.2574240000000003</c:v>
                </c:pt>
                <c:pt idx="15">
                  <c:v>6.7138989999999996</c:v>
                </c:pt>
                <c:pt idx="16">
                  <c:v>5.5972059999999999</c:v>
                </c:pt>
                <c:pt idx="17">
                  <c:v>4.7201839999999997</c:v>
                </c:pt>
                <c:pt idx="18">
                  <c:v>5.1592269999999996</c:v>
                </c:pt>
                <c:pt idx="19">
                  <c:v>6.5476000000000001</c:v>
                </c:pt>
                <c:pt idx="20">
                  <c:v>5.2539300000000004</c:v>
                </c:pt>
                <c:pt idx="21">
                  <c:v>6.143891</c:v>
                </c:pt>
                <c:pt idx="22">
                  <c:v>5.6238919999999997</c:v>
                </c:pt>
                <c:pt idx="23">
                  <c:v>5.2499650000000004</c:v>
                </c:pt>
                <c:pt idx="24">
                  <c:v>6.4869490000000001</c:v>
                </c:pt>
                <c:pt idx="25">
                  <c:v>5.2972789999999996</c:v>
                </c:pt>
                <c:pt idx="26">
                  <c:v>5.3184769999999997</c:v>
                </c:pt>
                <c:pt idx="27">
                  <c:v>5.5248229999999996</c:v>
                </c:pt>
                <c:pt idx="28">
                  <c:v>6.1139169999999998</c:v>
                </c:pt>
                <c:pt idx="29">
                  <c:v>7.3435269999999999</c:v>
                </c:pt>
                <c:pt idx="30">
                  <c:v>6.5888629999999999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5-4B7F-9B80-909F26F32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25231"/>
        <c:axId val="451824751"/>
      </c:lineChart>
      <c:catAx>
        <c:axId val="4518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4751"/>
        <c:crosses val="autoZero"/>
        <c:auto val="1"/>
        <c:lblAlgn val="ctr"/>
        <c:lblOffset val="100"/>
        <c:noMultiLvlLbl val="0"/>
      </c:catAx>
      <c:valAx>
        <c:axId val="4518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Comp2020vs2026!$DT$6</c:f>
              <c:strCache>
                <c:ptCount val="1"/>
                <c:pt idx="0">
                  <c:v>atDP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Comp2020vs2026!$DQ$7:$DQ$37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Comp2020vs2026!$DT$7:$DT$37</c:f>
              <c:numCache>
                <c:formatCode>General</c:formatCode>
                <c:ptCount val="31"/>
                <c:pt idx="0">
                  <c:v>1.4913266084253811</c:v>
                </c:pt>
                <c:pt idx="1">
                  <c:v>1.2999395763229014</c:v>
                </c:pt>
                <c:pt idx="2">
                  <c:v>1.4131508350087303</c:v>
                </c:pt>
                <c:pt idx="3">
                  <c:v>1.1702126546480047</c:v>
                </c:pt>
                <c:pt idx="4">
                  <c:v>1.3441199625107889</c:v>
                </c:pt>
                <c:pt idx="5">
                  <c:v>0.95394760166516934</c:v>
                </c:pt>
                <c:pt idx="6">
                  <c:v>1.0804625419727152</c:v>
                </c:pt>
                <c:pt idx="7">
                  <c:v>0.96316384305332903</c:v>
                </c:pt>
                <c:pt idx="8">
                  <c:v>0.71758337863327482</c:v>
                </c:pt>
                <c:pt idx="9">
                  <c:v>0.95599147105368798</c:v>
                </c:pt>
                <c:pt idx="10">
                  <c:v>0.83065093774110921</c:v>
                </c:pt>
                <c:pt idx="11">
                  <c:v>0.81315645406263914</c:v>
                </c:pt>
                <c:pt idx="12">
                  <c:v>1.2067446695730433</c:v>
                </c:pt>
                <c:pt idx="13">
                  <c:v>1.2649268398005937</c:v>
                </c:pt>
                <c:pt idx="14">
                  <c:v>1.2967257551719782</c:v>
                </c:pt>
                <c:pt idx="15">
                  <c:v>1.0269023622633493</c:v>
                </c:pt>
                <c:pt idx="16">
                  <c:v>0.82997765490908482</c:v>
                </c:pt>
                <c:pt idx="17">
                  <c:v>0.70808939289307105</c:v>
                </c:pt>
                <c:pt idx="18">
                  <c:v>0.7720422867839406</c:v>
                </c:pt>
                <c:pt idx="19">
                  <c:v>0.99389127162060309</c:v>
                </c:pt>
                <c:pt idx="20">
                  <c:v>0.79574916833488818</c:v>
                </c:pt>
                <c:pt idx="21">
                  <c:v>0.9365382889863697</c:v>
                </c:pt>
                <c:pt idx="22">
                  <c:v>0.86283281726755856</c:v>
                </c:pt>
                <c:pt idx="23">
                  <c:v>0.79426436071681461</c:v>
                </c:pt>
                <c:pt idx="24">
                  <c:v>0.98411956823571367</c:v>
                </c:pt>
                <c:pt idx="25">
                  <c:v>0.80092449773286711</c:v>
                </c:pt>
                <c:pt idx="26">
                  <c:v>0.79446049916546335</c:v>
                </c:pt>
                <c:pt idx="27">
                  <c:v>0.83334997229784347</c:v>
                </c:pt>
                <c:pt idx="28">
                  <c:v>0.92716386312248689</c:v>
                </c:pt>
                <c:pt idx="29">
                  <c:v>1.1307331455845655</c:v>
                </c:pt>
                <c:pt idx="30">
                  <c:v>1.0068577204420373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9-41D9-B35B-02765D5D2E96}"/>
            </c:ext>
          </c:extLst>
        </c:ser>
        <c:ser>
          <c:idx val="1"/>
          <c:order val="1"/>
          <c:tx>
            <c:strRef>
              <c:f>Comp2020vs2026!$DU$6</c:f>
              <c:strCache>
                <c:ptCount val="1"/>
                <c:pt idx="0">
                  <c:v>afterDP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Comp2020vs2026!$DQ$7:$DQ$37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Comp2020vs2026!$DU$7:$DU$37</c:f>
              <c:numCache>
                <c:formatCode>General</c:formatCode>
                <c:ptCount val="31"/>
                <c:pt idx="0">
                  <c:v>1.4377266023357886</c:v>
                </c:pt>
                <c:pt idx="1">
                  <c:v>1.268037627410769</c:v>
                </c:pt>
                <c:pt idx="2">
                  <c:v>1.3516067264859721</c:v>
                </c:pt>
                <c:pt idx="3">
                  <c:v>1.136321845434868</c:v>
                </c:pt>
                <c:pt idx="4">
                  <c:v>1.3310282083668787</c:v>
                </c:pt>
                <c:pt idx="5">
                  <c:v>0.94323625001439937</c:v>
                </c:pt>
                <c:pt idx="6">
                  <c:v>1.0636282552457668</c:v>
                </c:pt>
                <c:pt idx="7">
                  <c:v>0.95211969726120749</c:v>
                </c:pt>
                <c:pt idx="8">
                  <c:v>0.71622035644922954</c:v>
                </c:pt>
                <c:pt idx="9">
                  <c:v>0.95363371963922117</c:v>
                </c:pt>
                <c:pt idx="10">
                  <c:v>0.84754232292527643</c:v>
                </c:pt>
                <c:pt idx="11">
                  <c:v>0.84254288683037892</c:v>
                </c:pt>
                <c:pt idx="12">
                  <c:v>1.1820590500325019</c:v>
                </c:pt>
                <c:pt idx="13">
                  <c:v>1.2492801010565713</c:v>
                </c:pt>
                <c:pt idx="14">
                  <c:v>1.2737569761330929</c:v>
                </c:pt>
                <c:pt idx="15">
                  <c:v>1.0356590249335622</c:v>
                </c:pt>
                <c:pt idx="16">
                  <c:v>0.86340245933283843</c:v>
                </c:pt>
                <c:pt idx="17">
                  <c:v>0.72811657711070743</c:v>
                </c:pt>
                <c:pt idx="18">
                  <c:v>0.79584158239957248</c:v>
                </c:pt>
                <c:pt idx="19">
                  <c:v>1.0100064108284907</c:v>
                </c:pt>
                <c:pt idx="20">
                  <c:v>0.81045008583971723</c:v>
                </c:pt>
                <c:pt idx="21">
                  <c:v>0.94773188610047443</c:v>
                </c:pt>
                <c:pt idx="22">
                  <c:v>0.8675189342365236</c:v>
                </c:pt>
                <c:pt idx="23">
                  <c:v>0.80983846090555278</c:v>
                </c:pt>
                <c:pt idx="24">
                  <c:v>1.0006506317914148</c:v>
                </c:pt>
                <c:pt idx="25">
                  <c:v>0.81713692802662596</c:v>
                </c:pt>
                <c:pt idx="26">
                  <c:v>0.82040684614879933</c:v>
                </c:pt>
                <c:pt idx="27">
                  <c:v>0.85223694921691828</c:v>
                </c:pt>
                <c:pt idx="28">
                  <c:v>0.94310821755655405</c:v>
                </c:pt>
                <c:pt idx="29">
                  <c:v>1.132782904895246</c:v>
                </c:pt>
                <c:pt idx="30">
                  <c:v>1.0163714750550799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9-41D9-B35B-02765D5D2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825231"/>
        <c:axId val="451824751"/>
      </c:lineChart>
      <c:catAx>
        <c:axId val="4518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4751"/>
        <c:crosses val="autoZero"/>
        <c:auto val="1"/>
        <c:lblAlgn val="ctr"/>
        <c:lblOffset val="100"/>
        <c:noMultiLvlLbl val="0"/>
      </c:catAx>
      <c:valAx>
        <c:axId val="4518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82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4</xdr:row>
      <xdr:rowOff>0</xdr:rowOff>
    </xdr:from>
    <xdr:to>
      <xdr:col>34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B2E29-02F3-402B-BA36-452CAF0F4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19</xdr:row>
      <xdr:rowOff>0</xdr:rowOff>
    </xdr:from>
    <xdr:to>
      <xdr:col>34</xdr:col>
      <xdr:colOff>0</xdr:colOff>
      <xdr:row>33</xdr:row>
      <xdr:rowOff>186612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A2F931-5B3B-41E4-BC24-25198D560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579782</xdr:colOff>
      <xdr:row>4</xdr:row>
      <xdr:rowOff>1</xdr:rowOff>
    </xdr:from>
    <xdr:to>
      <xdr:col>41</xdr:col>
      <xdr:colOff>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60BB0D-17DC-42D9-93EC-BC4BAF68C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4</xdr:row>
      <xdr:rowOff>0</xdr:rowOff>
    </xdr:from>
    <xdr:to>
      <xdr:col>32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D499C-51C8-4002-8561-5C23B9B28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31</xdr:col>
      <xdr:colOff>579782</xdr:colOff>
      <xdr:row>33</xdr:row>
      <xdr:rowOff>186612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3CA68-2297-4B86-972C-4535A7F70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-1</xdr:colOff>
      <xdr:row>4</xdr:row>
      <xdr:rowOff>0</xdr:rowOff>
    </xdr:from>
    <xdr:to>
      <xdr:col>39</xdr:col>
      <xdr:colOff>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8C4C1-F2CC-4C88-B413-69EC8B3F7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579782</xdr:colOff>
      <xdr:row>19</xdr:row>
      <xdr:rowOff>1</xdr:rowOff>
    </xdr:from>
    <xdr:to>
      <xdr:col>38</xdr:col>
      <xdr:colOff>579782</xdr:colOff>
      <xdr:row>34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0BE450-C5E0-49C6-9278-B645100A8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24</xdr:row>
      <xdr:rowOff>571500</xdr:rowOff>
    </xdr:to>
    <xdr:sp macro="" textlink="" fLocksText="0">
      <xdr:nvSpPr>
        <xdr:cNvPr id="2" name="shapetype_202" hidden="1">
          <a:extLst>
            <a:ext uri="{FF2B5EF4-FFF2-40B4-BE49-F238E27FC236}">
              <a16:creationId xmlns:a16="http://schemas.microsoft.com/office/drawing/2014/main" id="{7D84A744-92AF-49A1-B354-F1E50C4EF229}"/>
            </a:ext>
          </a:extLst>
        </xdr:cNvPr>
        <xdr:cNvSpPr>
          <a:extLst>
            <a:ext uri="smNativeData">
              <pm:smNativeData xmlns="" xmlns:pm="smNativeData" val="SMDATA_11_c16pXhMAAAAlAAAAZAAAAIw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AAAAAAoAAAAAAAAAGwAAAAoAAABgBAAAY2IAAAAAAAAAAAAAs18AAAAAAAA="/>
            </a:ext>
          </a:extLst>
        </xdr:cNvSpPr>
      </xdr:nvSpPr>
      <xdr:spPr>
        <a:xfrm>
          <a:off x="6096000" y="0"/>
          <a:ext cx="0" cy="5334000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24</xdr:row>
      <xdr:rowOff>571500</xdr:rowOff>
    </xdr:to>
    <xdr:sp macro="" textlink="" fLocksText="0">
      <xdr:nvSpPr>
        <xdr:cNvPr id="3" name="shapetype_202" hidden="1">
          <a:extLst>
            <a:ext uri="{FF2B5EF4-FFF2-40B4-BE49-F238E27FC236}">
              <a16:creationId xmlns:a16="http://schemas.microsoft.com/office/drawing/2014/main" id="{184F5479-F941-4935-AD69-213AB87AB3B4}"/>
            </a:ext>
          </a:extLst>
        </xdr:cNvPr>
        <xdr:cNvSpPr>
          <a:extLst>
            <a:ext uri="smNativeData">
              <pm:smNativeData xmlns="" xmlns:pm="smNativeData" val="SMDATA_11_c16pXhMAAAAlAAAAZAAAAIw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DvAQ8MAAAAEAAAAAAAAAAAAAAAAAAAAAAAAAAeAAAAaAAAAAAAAAAAAAAAAAAAAAAAAAAAAAAAECcAABAnAAAAAAAAAAAAAAAAAAAAAAAAAAAAAAAAAAAAAAAAAAAAABQAAAAAAAAAwMD/AAAAAABkAAAAMgAAAAAAAABkAAAAAAAAAH9/fwAKAAAAIQAAADAAAAAsAAAAAAAAAAoAAAAAAAAAGwAAAAoAAABgBAAAY2IAAAAAAAAAAAAAs18AAAAAAAA="/>
            </a:ext>
          </a:extLst>
        </xdr:cNvSpPr>
      </xdr:nvSpPr>
      <xdr:spPr>
        <a:xfrm>
          <a:off x="6096000" y="0"/>
          <a:ext cx="0" cy="5334000"/>
        </a:xfrm>
        <a:prstGeom prst="rect">
          <a:avLst/>
        </a:prstGeom>
        <a:solidFill>
          <a:srgbClr val="FFFFFF"/>
        </a:solid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6</xdr:row>
      <xdr:rowOff>0</xdr:rowOff>
    </xdr:from>
    <xdr:to>
      <xdr:col>8</xdr:col>
      <xdr:colOff>1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3C902-5593-4F4C-B28E-9CFDF3CC3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DB8A2B-A722-4CCC-9C72-1109658E7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</xdr:colOff>
      <xdr:row>6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CD65DB-8214-4499-BF23-86136909B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20</xdr:row>
      <xdr:rowOff>188026</xdr:rowOff>
    </xdr:from>
    <xdr:to>
      <xdr:col>15</xdr:col>
      <xdr:colOff>0</xdr:colOff>
      <xdr:row>36</xdr:row>
      <xdr:rowOff>2579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C3908B-451F-47F8-A4AF-86FD6AE6A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65</xdr:col>
      <xdr:colOff>0</xdr:colOff>
      <xdr:row>4</xdr:row>
      <xdr:rowOff>0</xdr:rowOff>
    </xdr:from>
    <xdr:to>
      <xdr:col>72</xdr:col>
      <xdr:colOff>0</xdr:colOff>
      <xdr:row>19</xdr:row>
      <xdr:rowOff>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8AC64E8-DD12-4367-96BC-BC809A776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0</xdr:colOff>
      <xdr:row>3</xdr:row>
      <xdr:rowOff>182580</xdr:rowOff>
    </xdr:from>
    <xdr:to>
      <xdr:col>65</xdr:col>
      <xdr:colOff>0</xdr:colOff>
      <xdr:row>19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09D3693-232A-4289-99C1-A9DB2BCA9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19</xdr:row>
      <xdr:rowOff>0</xdr:rowOff>
    </xdr:from>
    <xdr:to>
      <xdr:col>65</xdr:col>
      <xdr:colOff>0</xdr:colOff>
      <xdr:row>34</xdr:row>
      <xdr:rowOff>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F0894D00-42CD-47C7-A3BB-175CC18C2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58</xdr:col>
      <xdr:colOff>0</xdr:colOff>
      <xdr:row>34</xdr:row>
      <xdr:rowOff>0</xdr:rowOff>
    </xdr:from>
    <xdr:to>
      <xdr:col>65</xdr:col>
      <xdr:colOff>0</xdr:colOff>
      <xdr:row>48</xdr:row>
      <xdr:rowOff>186610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6A7AC829-FCCA-4FA2-8D15-0C6E8E7D1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CB4155-6471-4700-8768-D38DAF5D2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14</xdr:col>
      <xdr:colOff>605117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6B0511-184F-4744-8E84-E09144E324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65</xdr:col>
      <xdr:colOff>0</xdr:colOff>
      <xdr:row>19</xdr:row>
      <xdr:rowOff>0</xdr:rowOff>
    </xdr:from>
    <xdr:to>
      <xdr:col>72</xdr:col>
      <xdr:colOff>-1</xdr:colOff>
      <xdr:row>34</xdr:row>
      <xdr:rowOff>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219BC8-E9D8-4714-83E6-9701E8221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0</xdr:colOff>
      <xdr:row>34</xdr:row>
      <xdr:rowOff>0</xdr:rowOff>
    </xdr:from>
    <xdr:to>
      <xdr:col>72</xdr:col>
      <xdr:colOff>-1</xdr:colOff>
      <xdr:row>48</xdr:row>
      <xdr:rowOff>186610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6D48FD3-7454-47B4-A8AA-00C21E495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124</xdr:col>
      <xdr:colOff>600075</xdr:colOff>
      <xdr:row>5</xdr:row>
      <xdr:rowOff>4762</xdr:rowOff>
    </xdr:from>
    <xdr:to>
      <xdr:col>132</xdr:col>
      <xdr:colOff>295275</xdr:colOff>
      <xdr:row>19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FC9C6A-397C-AB70-613F-320D6FFED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125</xdr:col>
      <xdr:colOff>0</xdr:colOff>
      <xdr:row>19</xdr:row>
      <xdr:rowOff>114300</xdr:rowOff>
    </xdr:from>
    <xdr:to>
      <xdr:col>132</xdr:col>
      <xdr:colOff>304800</xdr:colOff>
      <xdr:row>34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4AB665-7EC2-4F55-AEB4-8205BBFE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i Kimoto" id="{4E162931-1F87-40C0-AFD9-A6688B224306}" userId="S::ai.kimoto@iccat.int::64409def-d32b-451a-809d-8cc596755430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2-03-23T12:36:00.32" personId="{4E162931-1F87-40C0-AFD9-A6688B224306}" id="{ABFFF0D4-A960-4EAA-9D0E-786F2D72B360}">
    <text>This is only for SWO</text>
  </threadedComment>
  <threadedComment ref="B20" dT="2022-03-21T10:35:45.72" personId="{4E162931-1F87-40C0-AFD9-A6688B224306}" id="{BCF61490-9891-45E4-A315-13F1CDFF54B4}">
    <text>Based on SCRSCatalogues_SWO_v1.xlsx</text>
  </threadedComment>
  <threadedComment ref="B22" dT="2022-03-23T14:07:49.96" personId="{4E162931-1F87-40C0-AFD9-A6688B224306}" id="{105238F2-43BF-4DCE-8B14-97A787510EF1}">
    <text>more than 3: Many</text>
  </threadedComment>
  <threadedComment ref="B25" dT="2022-03-15T09:22:35.69" personId="{4E162931-1F87-40C0-AFD9-A6688B224306}" id="{02BBAE35-06EB-41D9-A2D4-4912F9CF96D2}">
    <text>the CV of any CPUE time series be finally evaluated, subjectively, relative to the other CPUEs in the table</text>
  </threadedComment>
  <threadedComment ref="B26" dT="2022-03-15T09:23:00.75" personId="{4E162931-1F87-40C0-AFD9-A6688B224306}" id="{472AB1F6-5065-4BC2-BA59-32B61F8F75CB}">
    <text>this is more of a judgement call on the part of the author and the Group. There is no numercial test or objective manner to make this determination,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2" dT="2022-03-23T12:36:00.32" personId="{4E162931-1F87-40C0-AFD9-A6688B224306}" id="{578B9786-86AB-4E61-B891-A227504E71B0}">
    <text>This is only for SWO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151"/>
  <sheetViews>
    <sheetView tabSelected="1" zoomScaleNormal="100" workbookViewId="0">
      <selection activeCell="C3" sqref="C3"/>
    </sheetView>
  </sheetViews>
  <sheetFormatPr defaultColWidth="9.140625" defaultRowHeight="15"/>
  <cols>
    <col min="1" max="1" width="14" style="12" customWidth="1"/>
    <col min="2" max="21" width="8" style="12" customWidth="1"/>
    <col min="26" max="1006" width="9.140625" style="12"/>
  </cols>
  <sheetData>
    <row r="1" spans="1:21" s="12" customFormat="1" ht="12.75">
      <c r="A1" s="16" t="s">
        <v>71</v>
      </c>
      <c r="B1" s="16"/>
      <c r="C1" s="16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2" customFormat="1" ht="12.75">
      <c r="A2" s="33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2" customFormat="1" ht="12.75">
      <c r="A3" s="15"/>
      <c r="B3" s="16">
        <f>+COUNT(B12:B75)</f>
        <v>31</v>
      </c>
      <c r="C3" s="15"/>
      <c r="D3" s="42">
        <f>+COUNT(D12:D75)</f>
        <v>31</v>
      </c>
      <c r="E3" s="16"/>
      <c r="F3" s="16">
        <f>+COUNT(F12:F75)</f>
        <v>36</v>
      </c>
      <c r="G3" s="15"/>
      <c r="H3" s="16">
        <f>+COUNT(H12:H75)</f>
        <v>36</v>
      </c>
      <c r="I3" s="16"/>
      <c r="J3" s="16">
        <f>+COUNT(J12:J75)</f>
        <v>14</v>
      </c>
      <c r="K3" s="15"/>
      <c r="L3" s="16">
        <f>+COUNT(L12:L75)</f>
        <v>15</v>
      </c>
      <c r="M3" s="15"/>
      <c r="N3" s="16">
        <f>+COUNT(N12:N75)</f>
        <v>34</v>
      </c>
      <c r="O3" s="15"/>
      <c r="P3" s="16">
        <f>+COUNT(P12:P75)</f>
        <v>21</v>
      </c>
      <c r="Q3" s="15"/>
      <c r="R3" s="16">
        <f>+COUNT(R12:R75)</f>
        <v>23</v>
      </c>
      <c r="S3" s="16"/>
      <c r="T3" s="16">
        <f>+COUNT(T12:T75)</f>
        <v>31</v>
      </c>
      <c r="U3" s="15"/>
    </row>
    <row r="4" spans="1:21" s="12" customFormat="1" ht="26.25" customHeight="1">
      <c r="A4" s="25" t="s">
        <v>1</v>
      </c>
      <c r="B4" s="131" t="s">
        <v>73</v>
      </c>
      <c r="C4" s="131"/>
      <c r="D4" s="131" t="s">
        <v>249</v>
      </c>
      <c r="E4" s="131"/>
      <c r="F4" s="126" t="s">
        <v>26</v>
      </c>
      <c r="G4" s="126"/>
      <c r="H4" s="126" t="s">
        <v>27</v>
      </c>
      <c r="I4" s="126"/>
      <c r="J4" s="126" t="s">
        <v>258</v>
      </c>
      <c r="K4" s="126"/>
      <c r="L4" s="126" t="s">
        <v>259</v>
      </c>
      <c r="M4" s="126"/>
      <c r="N4" s="126" t="s">
        <v>260</v>
      </c>
      <c r="O4" s="126"/>
      <c r="P4" s="126" t="s">
        <v>30</v>
      </c>
      <c r="Q4" s="126"/>
      <c r="R4" s="126" t="s">
        <v>28</v>
      </c>
      <c r="S4" s="126"/>
      <c r="T4" s="126" t="s">
        <v>29</v>
      </c>
      <c r="U4" s="126"/>
    </row>
    <row r="5" spans="1:21" s="12" customFormat="1" ht="12.75">
      <c r="A5" s="23" t="s">
        <v>16</v>
      </c>
      <c r="B5" s="132"/>
      <c r="C5" s="132"/>
      <c r="D5" s="27"/>
      <c r="E5" s="27"/>
      <c r="F5" s="130"/>
      <c r="G5" s="130"/>
      <c r="H5" s="129"/>
      <c r="I5" s="129"/>
      <c r="J5" s="130"/>
      <c r="K5" s="130"/>
      <c r="L5" s="130"/>
      <c r="M5" s="130"/>
      <c r="N5" s="130"/>
      <c r="O5" s="130"/>
      <c r="P5" s="124"/>
      <c r="Q5" s="124"/>
      <c r="R5" s="127"/>
      <c r="S5" s="127"/>
      <c r="T5" s="127"/>
      <c r="U5" s="127"/>
    </row>
    <row r="6" spans="1:21" s="12" customFormat="1" ht="12.75">
      <c r="A6" s="23" t="s">
        <v>8</v>
      </c>
      <c r="B6" s="130" t="s">
        <v>9</v>
      </c>
      <c r="C6" s="130"/>
      <c r="D6" s="130" t="s">
        <v>9</v>
      </c>
      <c r="E6" s="130"/>
      <c r="F6" s="130" t="s">
        <v>9</v>
      </c>
      <c r="G6" s="130"/>
      <c r="H6" s="130" t="s">
        <v>10</v>
      </c>
      <c r="I6" s="130"/>
      <c r="J6" s="130" t="s">
        <v>9</v>
      </c>
      <c r="K6" s="130"/>
      <c r="L6" s="130" t="s">
        <v>9</v>
      </c>
      <c r="M6" s="130"/>
      <c r="N6" s="130" t="s">
        <v>9</v>
      </c>
      <c r="O6" s="130"/>
      <c r="P6" s="124" t="s">
        <v>10</v>
      </c>
      <c r="Q6" s="124"/>
      <c r="R6" s="130" t="s">
        <v>9</v>
      </c>
      <c r="S6" s="130"/>
      <c r="T6" s="130" t="s">
        <v>9</v>
      </c>
      <c r="U6" s="130"/>
    </row>
    <row r="7" spans="1:21" s="12" customFormat="1" ht="12.75">
      <c r="A7" s="23" t="s">
        <v>2</v>
      </c>
      <c r="B7" s="132" t="s">
        <v>240</v>
      </c>
      <c r="C7" s="132"/>
      <c r="D7" s="130" t="s">
        <v>17</v>
      </c>
      <c r="E7" s="130"/>
      <c r="F7" s="130" t="s">
        <v>19</v>
      </c>
      <c r="G7" s="130"/>
      <c r="H7" s="130" t="s">
        <v>19</v>
      </c>
      <c r="I7" s="130"/>
      <c r="J7" s="130" t="s">
        <v>19</v>
      </c>
      <c r="K7" s="130"/>
      <c r="L7" s="130" t="s">
        <v>19</v>
      </c>
      <c r="M7" s="130"/>
      <c r="N7" s="130" t="s">
        <v>19</v>
      </c>
      <c r="O7" s="130"/>
      <c r="P7" s="130" t="s">
        <v>95</v>
      </c>
      <c r="Q7" s="130"/>
      <c r="R7" s="124"/>
      <c r="S7" s="124"/>
      <c r="T7" s="124"/>
      <c r="U7" s="124"/>
    </row>
    <row r="8" spans="1:21" s="12" customFormat="1" ht="24" customHeight="1">
      <c r="A8" s="23" t="s">
        <v>3</v>
      </c>
      <c r="B8" s="132" t="s">
        <v>230</v>
      </c>
      <c r="C8" s="132"/>
      <c r="D8" s="125" t="s">
        <v>7</v>
      </c>
      <c r="E8" s="125"/>
      <c r="F8" s="125" t="s">
        <v>246</v>
      </c>
      <c r="G8" s="125"/>
      <c r="H8" s="125" t="s">
        <v>246</v>
      </c>
      <c r="I8" s="125"/>
      <c r="J8" s="125" t="s">
        <v>257</v>
      </c>
      <c r="K8" s="125"/>
      <c r="L8" s="125" t="s">
        <v>257</v>
      </c>
      <c r="M8" s="125"/>
      <c r="N8" s="125" t="s">
        <v>257</v>
      </c>
      <c r="O8" s="125"/>
      <c r="P8" s="128" t="s">
        <v>251</v>
      </c>
      <c r="Q8" s="128"/>
      <c r="R8" s="128"/>
      <c r="S8" s="128"/>
      <c r="T8" s="124" t="s">
        <v>230</v>
      </c>
      <c r="U8" s="124"/>
    </row>
    <row r="9" spans="1:21" s="12" customFormat="1" ht="12.75">
      <c r="A9" s="23" t="s">
        <v>4</v>
      </c>
      <c r="B9" s="132"/>
      <c r="C9" s="132"/>
      <c r="D9" s="88"/>
      <c r="E9" s="88"/>
      <c r="F9" s="124" t="s">
        <v>12</v>
      </c>
      <c r="G9" s="124"/>
      <c r="H9" s="124" t="s">
        <v>12</v>
      </c>
      <c r="I9" s="124"/>
      <c r="J9" s="124" t="s">
        <v>12</v>
      </c>
      <c r="K9" s="124"/>
      <c r="L9" s="124" t="s">
        <v>12</v>
      </c>
      <c r="M9" s="124"/>
      <c r="N9" s="124" t="s">
        <v>12</v>
      </c>
      <c r="O9" s="124"/>
      <c r="P9" s="124" t="s">
        <v>12</v>
      </c>
      <c r="Q9" s="124"/>
      <c r="R9" s="124"/>
      <c r="S9" s="124"/>
      <c r="T9" s="124"/>
      <c r="U9" s="124"/>
    </row>
    <row r="10" spans="1:21" s="12" customFormat="1" ht="12.75">
      <c r="A10" s="23" t="s">
        <v>5</v>
      </c>
      <c r="B10" s="124" t="s">
        <v>72</v>
      </c>
      <c r="C10" s="124"/>
      <c r="D10" s="124" t="s">
        <v>41</v>
      </c>
      <c r="E10" s="124"/>
      <c r="F10" s="124" t="s">
        <v>42</v>
      </c>
      <c r="G10" s="124"/>
      <c r="H10" s="124" t="s">
        <v>42</v>
      </c>
      <c r="I10" s="124"/>
      <c r="J10" s="124" t="s">
        <v>43</v>
      </c>
      <c r="K10" s="124"/>
      <c r="L10" s="124" t="s">
        <v>43</v>
      </c>
      <c r="M10" s="124"/>
      <c r="N10" s="124" t="s">
        <v>43</v>
      </c>
      <c r="O10" s="124"/>
      <c r="P10" s="124" t="s">
        <v>222</v>
      </c>
      <c r="Q10" s="124"/>
      <c r="R10" s="124" t="s">
        <v>15</v>
      </c>
      <c r="S10" s="124"/>
      <c r="T10" s="124" t="s">
        <v>229</v>
      </c>
      <c r="U10" s="124"/>
    </row>
    <row r="11" spans="1:21" s="12" customFormat="1" ht="12.75">
      <c r="A11" s="28" t="s">
        <v>6</v>
      </c>
      <c r="B11" s="24" t="s">
        <v>20</v>
      </c>
      <c r="C11" s="24" t="s">
        <v>0</v>
      </c>
      <c r="D11" s="24" t="s">
        <v>20</v>
      </c>
      <c r="E11" s="24" t="s">
        <v>0</v>
      </c>
      <c r="F11" s="24" t="s">
        <v>20</v>
      </c>
      <c r="G11" s="24" t="s">
        <v>0</v>
      </c>
      <c r="H11" s="24" t="s">
        <v>20</v>
      </c>
      <c r="I11" s="24" t="s">
        <v>0</v>
      </c>
      <c r="J11" s="24" t="s">
        <v>20</v>
      </c>
      <c r="K11" s="24" t="s">
        <v>0</v>
      </c>
      <c r="L11" s="24" t="s">
        <v>20</v>
      </c>
      <c r="M11" s="24" t="s">
        <v>0</v>
      </c>
      <c r="N11" s="24" t="s">
        <v>20</v>
      </c>
      <c r="O11" s="24" t="s">
        <v>0</v>
      </c>
      <c r="P11" s="24" t="s">
        <v>20</v>
      </c>
      <c r="Q11" s="24" t="s">
        <v>0</v>
      </c>
      <c r="R11" s="24" t="s">
        <v>20</v>
      </c>
      <c r="S11" s="24" t="s">
        <v>0</v>
      </c>
      <c r="T11" s="24" t="s">
        <v>20</v>
      </c>
      <c r="U11" s="24" t="s">
        <v>0</v>
      </c>
    </row>
    <row r="12" spans="1:21" s="12" customFormat="1" ht="12.75">
      <c r="A12" s="27">
        <v>1962</v>
      </c>
      <c r="B12" s="27"/>
      <c r="C12" s="27"/>
      <c r="D12" s="41"/>
      <c r="E12" s="41"/>
      <c r="F12" s="41"/>
      <c r="G12" s="41"/>
      <c r="H12" s="41"/>
      <c r="I12" s="41"/>
      <c r="J12" s="41">
        <v>2.5</v>
      </c>
      <c r="K12" s="41">
        <v>0.09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</row>
    <row r="13" spans="1:21" s="12" customFormat="1" ht="12.75">
      <c r="A13" s="27">
        <v>1963</v>
      </c>
      <c r="B13" s="84"/>
      <c r="C13" s="27"/>
      <c r="D13" s="41"/>
      <c r="E13" s="41"/>
      <c r="F13" s="41"/>
      <c r="G13" s="41"/>
      <c r="H13" s="41"/>
      <c r="I13" s="41"/>
      <c r="J13" s="41">
        <v>1.9</v>
      </c>
      <c r="K13" s="41">
        <v>0.12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</row>
    <row r="14" spans="1:21" s="12" customFormat="1" ht="12.75">
      <c r="A14" s="27">
        <v>1964</v>
      </c>
      <c r="B14" s="27"/>
      <c r="C14" s="27"/>
      <c r="D14" s="41"/>
      <c r="E14" s="41"/>
      <c r="F14" s="41"/>
      <c r="G14" s="41"/>
      <c r="H14" s="41"/>
      <c r="I14" s="41"/>
      <c r="J14" s="41">
        <v>1.7</v>
      </c>
      <c r="K14" s="41">
        <v>7.0000000000000007E-2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spans="1:21" s="12" customFormat="1" ht="12.75">
      <c r="A15" s="27">
        <v>1965</v>
      </c>
      <c r="B15" s="27"/>
      <c r="C15" s="27"/>
      <c r="D15" s="41"/>
      <c r="E15" s="41"/>
      <c r="F15" s="41"/>
      <c r="G15" s="41"/>
      <c r="H15" s="41"/>
      <c r="I15" s="41"/>
      <c r="J15" s="41">
        <v>1.2</v>
      </c>
      <c r="K15" s="41">
        <v>7.0000000000000007E-2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</row>
    <row r="16" spans="1:21" s="12" customFormat="1" ht="12.75">
      <c r="A16" s="27">
        <v>1966</v>
      </c>
      <c r="B16" s="27"/>
      <c r="C16" s="27"/>
      <c r="D16" s="41"/>
      <c r="E16" s="41"/>
      <c r="F16" s="41"/>
      <c r="G16" s="41"/>
      <c r="H16" s="41"/>
      <c r="I16" s="41"/>
      <c r="J16" s="41">
        <v>0.91</v>
      </c>
      <c r="K16" s="41">
        <v>0.1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</row>
    <row r="17" spans="1:21" s="12" customFormat="1" ht="12.75">
      <c r="A17" s="27">
        <v>1967</v>
      </c>
      <c r="B17" s="27"/>
      <c r="C17" s="27"/>
      <c r="D17" s="41"/>
      <c r="E17" s="41"/>
      <c r="F17" s="41"/>
      <c r="G17" s="41"/>
      <c r="H17" s="41"/>
      <c r="I17" s="41"/>
      <c r="J17" s="41">
        <v>0.46</v>
      </c>
      <c r="K17" s="41">
        <v>7.0000000000000007E-2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</row>
    <row r="18" spans="1:21" s="34" customFormat="1" ht="12.75">
      <c r="A18" s="27">
        <v>1968</v>
      </c>
      <c r="B18" s="27"/>
      <c r="C18" s="27"/>
      <c r="D18" s="39"/>
      <c r="E18" s="39"/>
      <c r="F18" s="39"/>
      <c r="G18" s="39"/>
      <c r="H18" s="39"/>
      <c r="I18" s="39"/>
      <c r="J18" s="39">
        <v>0.8</v>
      </c>
      <c r="K18" s="39">
        <v>0.1</v>
      </c>
      <c r="L18" s="39"/>
      <c r="M18" s="39"/>
      <c r="N18" s="39"/>
      <c r="O18" s="39"/>
      <c r="P18" s="39"/>
      <c r="Q18" s="39"/>
      <c r="R18" s="39">
        <v>0.32900988524265801</v>
      </c>
      <c r="S18" s="39">
        <v>9.1082151983423801E-2</v>
      </c>
      <c r="T18" s="39"/>
      <c r="U18" s="39"/>
    </row>
    <row r="19" spans="1:21" s="34" customFormat="1" ht="12" customHeight="1">
      <c r="A19" s="27">
        <f t="shared" ref="A19:A74" si="0">+A18+1</f>
        <v>1969</v>
      </c>
      <c r="B19" s="27"/>
      <c r="C19" s="27"/>
      <c r="D19" s="39"/>
      <c r="E19" s="39"/>
      <c r="F19" s="39"/>
      <c r="G19" s="39"/>
      <c r="H19" s="39"/>
      <c r="I19" s="39"/>
      <c r="J19" s="39">
        <v>0.86</v>
      </c>
      <c r="K19" s="39">
        <v>0.06</v>
      </c>
      <c r="L19" s="39"/>
      <c r="M19" s="39"/>
      <c r="N19" s="39"/>
      <c r="O19" s="39"/>
      <c r="P19" s="39"/>
      <c r="Q19" s="39"/>
      <c r="R19" s="39">
        <v>0.26380077380802103</v>
      </c>
      <c r="S19" s="39">
        <v>6.6517905689007006E-2</v>
      </c>
      <c r="T19" s="39"/>
      <c r="U19" s="39"/>
    </row>
    <row r="20" spans="1:21" s="34" customFormat="1" ht="12.75">
      <c r="A20" s="27">
        <f t="shared" si="0"/>
        <v>1970</v>
      </c>
      <c r="B20" s="27"/>
      <c r="C20" s="27"/>
      <c r="D20" s="39"/>
      <c r="E20" s="39"/>
      <c r="F20" s="39"/>
      <c r="G20" s="39"/>
      <c r="H20" s="39"/>
      <c r="I20" s="39"/>
      <c r="J20" s="39">
        <v>0.81</v>
      </c>
      <c r="K20" s="39">
        <v>0.06</v>
      </c>
      <c r="L20" s="39"/>
      <c r="M20" s="39"/>
      <c r="N20" s="39"/>
      <c r="O20" s="39"/>
      <c r="P20" s="39"/>
      <c r="Q20" s="39"/>
      <c r="R20" s="39">
        <v>0.27512695569128298</v>
      </c>
      <c r="S20" s="39">
        <v>6.4032099587439703E-2</v>
      </c>
      <c r="T20" s="39"/>
      <c r="U20" s="39"/>
    </row>
    <row r="21" spans="1:21" s="34" customFormat="1" ht="12.75">
      <c r="A21" s="27">
        <f t="shared" si="0"/>
        <v>1971</v>
      </c>
      <c r="B21" s="27"/>
      <c r="C21" s="27"/>
      <c r="D21" s="39"/>
      <c r="E21" s="39"/>
      <c r="F21" s="39"/>
      <c r="G21" s="39"/>
      <c r="H21" s="39"/>
      <c r="I21" s="39"/>
      <c r="J21" s="39">
        <v>0.54</v>
      </c>
      <c r="K21" s="39">
        <v>0.08</v>
      </c>
      <c r="L21" s="39"/>
      <c r="M21" s="39"/>
      <c r="N21" s="39"/>
      <c r="O21" s="39"/>
      <c r="P21" s="39"/>
      <c r="Q21" s="39"/>
      <c r="R21" s="39">
        <v>0.32417797787661401</v>
      </c>
      <c r="S21" s="39">
        <v>6.8732988443857904E-2</v>
      </c>
      <c r="T21" s="39"/>
      <c r="U21" s="39"/>
    </row>
    <row r="22" spans="1:21" s="34" customFormat="1" ht="12.75">
      <c r="A22" s="27">
        <f t="shared" si="0"/>
        <v>1972</v>
      </c>
      <c r="B22" s="27"/>
      <c r="C22" s="27"/>
      <c r="D22" s="39"/>
      <c r="E22" s="39"/>
      <c r="F22" s="39"/>
      <c r="G22" s="39"/>
      <c r="H22" s="39"/>
      <c r="I22" s="39"/>
      <c r="J22" s="39">
        <v>0.44</v>
      </c>
      <c r="K22" s="39">
        <v>0.11</v>
      </c>
      <c r="L22" s="39"/>
      <c r="M22" s="39"/>
      <c r="N22" s="39"/>
      <c r="O22" s="39"/>
      <c r="P22" s="39"/>
      <c r="Q22" s="39"/>
      <c r="R22" s="39">
        <v>0.249495720475094</v>
      </c>
      <c r="S22" s="39">
        <v>6.8458442262573097E-2</v>
      </c>
      <c r="T22" s="39"/>
      <c r="U22" s="39"/>
    </row>
    <row r="23" spans="1:21" s="34" customFormat="1" ht="12.75">
      <c r="A23" s="27">
        <f t="shared" si="0"/>
        <v>1973</v>
      </c>
      <c r="B23" s="27"/>
      <c r="C23" s="27"/>
      <c r="D23" s="39"/>
      <c r="E23" s="39"/>
      <c r="F23" s="39"/>
      <c r="G23" s="39"/>
      <c r="H23" s="39"/>
      <c r="I23" s="39"/>
      <c r="J23" s="39">
        <v>0.61</v>
      </c>
      <c r="K23" s="39">
        <v>0.19</v>
      </c>
      <c r="L23" s="39"/>
      <c r="M23" s="39"/>
      <c r="N23" s="39"/>
      <c r="O23" s="39"/>
      <c r="P23" s="39"/>
      <c r="Q23" s="39"/>
      <c r="R23" s="39">
        <v>0.26956262036981199</v>
      </c>
      <c r="S23" s="39">
        <v>9.1073869618161093E-2</v>
      </c>
      <c r="T23" s="39"/>
      <c r="U23" s="39"/>
    </row>
    <row r="24" spans="1:21" s="34" customFormat="1" ht="12.75">
      <c r="A24" s="27">
        <f t="shared" si="0"/>
        <v>1974</v>
      </c>
      <c r="B24" s="27"/>
      <c r="C24" s="27"/>
      <c r="D24" s="39"/>
      <c r="E24" s="39"/>
      <c r="F24" s="39"/>
      <c r="G24" s="39"/>
      <c r="H24" s="39"/>
      <c r="I24" s="39"/>
      <c r="J24" s="39">
        <v>0.63</v>
      </c>
      <c r="K24" s="39">
        <v>0.28000000000000003</v>
      </c>
      <c r="L24" s="39"/>
      <c r="M24" s="39"/>
      <c r="N24" s="39"/>
      <c r="O24" s="39"/>
      <c r="P24" s="39"/>
      <c r="Q24" s="39"/>
      <c r="R24" s="39">
        <v>0.24951918733908399</v>
      </c>
      <c r="S24" s="39">
        <v>7.5164843390160496E-2</v>
      </c>
      <c r="T24" s="39"/>
      <c r="U24" s="39"/>
    </row>
    <row r="25" spans="1:21" s="34" customFormat="1" ht="12.75">
      <c r="A25" s="27">
        <f t="shared" si="0"/>
        <v>1975</v>
      </c>
      <c r="B25" s="27"/>
      <c r="C25" s="27"/>
      <c r="D25" s="39"/>
      <c r="E25" s="39"/>
      <c r="F25" s="39"/>
      <c r="G25" s="39"/>
      <c r="H25" s="39"/>
      <c r="I25" s="39"/>
      <c r="J25" s="39">
        <v>0.62</v>
      </c>
      <c r="K25" s="39">
        <v>0.21</v>
      </c>
      <c r="L25" s="39"/>
      <c r="M25" s="39"/>
      <c r="N25" s="39"/>
      <c r="O25" s="39"/>
      <c r="P25" s="39"/>
      <c r="Q25" s="39"/>
      <c r="R25" s="39">
        <v>0.212016187401981</v>
      </c>
      <c r="S25" s="39">
        <v>7.8718721258596303E-2</v>
      </c>
      <c r="T25" s="39"/>
      <c r="U25" s="39"/>
    </row>
    <row r="26" spans="1:21" s="34" customFormat="1" ht="12.75">
      <c r="A26" s="27">
        <f t="shared" si="0"/>
        <v>1976</v>
      </c>
      <c r="B26" s="27"/>
      <c r="C26" s="27"/>
      <c r="D26" s="39"/>
      <c r="E26" s="39"/>
      <c r="F26" s="39"/>
      <c r="G26" s="39"/>
      <c r="H26" s="39"/>
      <c r="I26" s="39"/>
      <c r="J26" s="39"/>
      <c r="K26" s="39"/>
      <c r="L26" s="39">
        <v>0.66</v>
      </c>
      <c r="M26" s="39">
        <v>0.27</v>
      </c>
      <c r="N26" s="39"/>
      <c r="O26" s="39"/>
      <c r="P26" s="39"/>
      <c r="Q26" s="39"/>
      <c r="R26" s="39">
        <v>0.11683258688643899</v>
      </c>
      <c r="S26" s="39">
        <v>7.5932971265226495E-2</v>
      </c>
      <c r="T26" s="39"/>
      <c r="U26" s="39"/>
    </row>
    <row r="27" spans="1:21" s="34" customFormat="1" ht="12.75">
      <c r="A27" s="27">
        <f t="shared" si="0"/>
        <v>1977</v>
      </c>
      <c r="B27" s="27"/>
      <c r="C27" s="27"/>
      <c r="D27" s="39"/>
      <c r="E27" s="39"/>
      <c r="F27" s="39"/>
      <c r="G27" s="39"/>
      <c r="H27" s="39"/>
      <c r="I27" s="39"/>
      <c r="J27" s="39"/>
      <c r="K27" s="39"/>
      <c r="L27" s="39">
        <v>0.79</v>
      </c>
      <c r="M27" s="39">
        <v>0.22</v>
      </c>
      <c r="N27" s="39"/>
      <c r="O27" s="39"/>
      <c r="P27" s="39"/>
      <c r="Q27" s="39"/>
      <c r="R27" s="39">
        <v>0.12657645990012001</v>
      </c>
      <c r="S27" s="39">
        <v>6.8159231030671105E-2</v>
      </c>
      <c r="T27" s="39"/>
      <c r="U27" s="39"/>
    </row>
    <row r="28" spans="1:21" s="34" customFormat="1" ht="12.75">
      <c r="A28" s="27">
        <f t="shared" si="0"/>
        <v>1978</v>
      </c>
      <c r="B28" s="27"/>
      <c r="C28" s="27"/>
      <c r="D28" s="39"/>
      <c r="E28" s="39"/>
      <c r="F28" s="39"/>
      <c r="G28" s="39"/>
      <c r="H28" s="39"/>
      <c r="I28" s="39"/>
      <c r="J28" s="39"/>
      <c r="K28" s="39"/>
      <c r="L28" s="39">
        <v>0.69</v>
      </c>
      <c r="M28" s="39">
        <v>0.18</v>
      </c>
      <c r="N28" s="39"/>
      <c r="O28" s="39"/>
      <c r="P28" s="39"/>
      <c r="Q28" s="39"/>
      <c r="R28" s="39">
        <v>0.145036707010259</v>
      </c>
      <c r="S28" s="39">
        <v>6.8119132538156407E-2</v>
      </c>
      <c r="T28" s="39"/>
      <c r="U28" s="39"/>
    </row>
    <row r="29" spans="1:21" s="34" customFormat="1" ht="12.75">
      <c r="A29" s="27">
        <f t="shared" si="0"/>
        <v>1979</v>
      </c>
      <c r="B29" s="27"/>
      <c r="C29" s="27"/>
      <c r="D29" s="39"/>
      <c r="E29" s="39"/>
      <c r="F29" s="39"/>
      <c r="G29" s="39"/>
      <c r="H29" s="39"/>
      <c r="I29" s="39"/>
      <c r="J29" s="39"/>
      <c r="K29" s="39"/>
      <c r="L29" s="39">
        <v>0.8</v>
      </c>
      <c r="M29" s="39">
        <v>0.23</v>
      </c>
      <c r="N29" s="39"/>
      <c r="O29" s="39"/>
      <c r="P29" s="39"/>
      <c r="Q29" s="39"/>
      <c r="R29" s="39">
        <v>0.191098215114203</v>
      </c>
      <c r="S29" s="39">
        <v>7.9214007771898909E-2</v>
      </c>
      <c r="T29" s="39"/>
      <c r="U29" s="39"/>
    </row>
    <row r="30" spans="1:21" s="34" customFormat="1" ht="12.75">
      <c r="A30" s="27">
        <f t="shared" si="0"/>
        <v>1980</v>
      </c>
      <c r="B30" s="27"/>
      <c r="C30" s="27"/>
      <c r="D30" s="39"/>
      <c r="E30" s="39"/>
      <c r="F30" s="39"/>
      <c r="G30" s="39"/>
      <c r="H30" s="39"/>
      <c r="I30" s="39"/>
      <c r="J30" s="39"/>
      <c r="K30" s="39"/>
      <c r="L30" s="39">
        <v>0.8</v>
      </c>
      <c r="M30" s="39">
        <v>0.14000000000000001</v>
      </c>
      <c r="N30" s="39"/>
      <c r="O30" s="39"/>
      <c r="P30" s="39"/>
      <c r="Q30" s="39"/>
      <c r="R30" s="39">
        <v>0.190471681087058</v>
      </c>
      <c r="S30" s="39">
        <v>7.0038220972424597E-2</v>
      </c>
      <c r="T30" s="39"/>
      <c r="U30" s="39"/>
    </row>
    <row r="31" spans="1:21" s="34" customFormat="1" ht="12.75">
      <c r="A31" s="27">
        <f t="shared" si="0"/>
        <v>1981</v>
      </c>
      <c r="B31" s="27"/>
      <c r="C31" s="27"/>
      <c r="D31" s="39"/>
      <c r="E31" s="39"/>
      <c r="F31" s="39"/>
      <c r="G31" s="39"/>
      <c r="H31" s="39"/>
      <c r="I31" s="39"/>
      <c r="J31" s="39"/>
      <c r="K31" s="39"/>
      <c r="L31" s="39">
        <v>0.77</v>
      </c>
      <c r="M31" s="39">
        <v>0.14000000000000001</v>
      </c>
      <c r="N31" s="39"/>
      <c r="O31" s="39"/>
      <c r="P31" s="39"/>
      <c r="Q31" s="39"/>
      <c r="R31" s="39">
        <v>0.203746105667683</v>
      </c>
      <c r="S31" s="39">
        <v>6.6576859318218398E-2</v>
      </c>
      <c r="T31" s="39"/>
      <c r="U31" s="39"/>
    </row>
    <row r="32" spans="1:21" s="34" customFormat="1" ht="12.75">
      <c r="A32" s="27">
        <f t="shared" ref="A32" si="1">+A31+1</f>
        <v>1982</v>
      </c>
      <c r="B32" s="27"/>
      <c r="C32" s="27"/>
      <c r="D32" s="39"/>
      <c r="E32" s="39"/>
      <c r="F32" s="39"/>
      <c r="G32" s="39"/>
      <c r="H32" s="39"/>
      <c r="I32" s="39"/>
      <c r="J32" s="39"/>
      <c r="K32" s="39"/>
      <c r="L32" s="39">
        <v>0.88</v>
      </c>
      <c r="M32" s="39">
        <v>0.13</v>
      </c>
      <c r="N32" s="39"/>
      <c r="O32" s="39"/>
      <c r="P32" s="39"/>
      <c r="Q32" s="39"/>
      <c r="R32" s="39">
        <v>0.179966588955395</v>
      </c>
      <c r="S32" s="39">
        <v>6.6675724394273397E-2</v>
      </c>
      <c r="T32" s="39"/>
      <c r="U32" s="39"/>
    </row>
    <row r="33" spans="1:27" s="34" customFormat="1" ht="12.75">
      <c r="A33" s="27">
        <f t="shared" si="0"/>
        <v>1983</v>
      </c>
      <c r="B33" s="27"/>
      <c r="C33" s="27"/>
      <c r="D33" s="39"/>
      <c r="E33" s="39"/>
      <c r="F33" s="39"/>
      <c r="G33" s="39"/>
      <c r="H33" s="39"/>
      <c r="I33" s="39"/>
      <c r="J33" s="39"/>
      <c r="K33" s="39"/>
      <c r="L33" s="39">
        <v>0.76</v>
      </c>
      <c r="M33" s="39">
        <v>0.13</v>
      </c>
      <c r="N33" s="39"/>
      <c r="O33" s="39"/>
      <c r="P33" s="39"/>
      <c r="Q33" s="39"/>
      <c r="R33" s="39">
        <v>0.175824620990677</v>
      </c>
      <c r="S33" s="39">
        <v>8.0338266386718399E-2</v>
      </c>
      <c r="T33" s="39"/>
      <c r="U33" s="39"/>
    </row>
    <row r="34" spans="1:27" s="34" customFormat="1" ht="12.75">
      <c r="A34" s="27">
        <f t="shared" si="0"/>
        <v>1984</v>
      </c>
      <c r="B34" s="27"/>
      <c r="C34" s="27"/>
      <c r="D34" s="39"/>
      <c r="E34" s="39"/>
      <c r="F34" s="39"/>
      <c r="G34" s="39"/>
      <c r="H34" s="39"/>
      <c r="I34" s="39"/>
      <c r="J34" s="39"/>
      <c r="K34" s="39"/>
      <c r="L34" s="39">
        <v>1.1000000000000001</v>
      </c>
      <c r="M34" s="39">
        <v>0.16</v>
      </c>
      <c r="N34" s="39"/>
      <c r="O34" s="39"/>
      <c r="P34" s="39"/>
      <c r="Q34" s="39"/>
      <c r="R34" s="39">
        <v>0.20681564358629101</v>
      </c>
      <c r="S34" s="39">
        <v>8.8079335689366794E-2</v>
      </c>
      <c r="T34" s="39"/>
      <c r="U34" s="39"/>
    </row>
    <row r="35" spans="1:27" s="34" customFormat="1" ht="12.75">
      <c r="A35" s="27">
        <f t="shared" si="0"/>
        <v>1985</v>
      </c>
      <c r="B35" s="27"/>
      <c r="C35" s="27"/>
      <c r="D35" s="39"/>
      <c r="E35" s="39"/>
      <c r="F35" s="39"/>
      <c r="G35" s="39"/>
      <c r="H35" s="39"/>
      <c r="I35" s="39"/>
      <c r="J35" s="39"/>
      <c r="K35" s="39"/>
      <c r="L35" s="39">
        <v>1.5</v>
      </c>
      <c r="M35" s="39">
        <v>0.09</v>
      </c>
      <c r="N35" s="39"/>
      <c r="O35" s="39"/>
      <c r="P35" s="39"/>
      <c r="Q35" s="39"/>
      <c r="R35" s="39">
        <v>0.15549285986078601</v>
      </c>
      <c r="S35" s="39">
        <v>7.74368195753357E-2</v>
      </c>
      <c r="T35" s="39"/>
      <c r="U35" s="39"/>
    </row>
    <row r="36" spans="1:27" s="34" customFormat="1" ht="12.75">
      <c r="A36" s="27">
        <f t="shared" si="0"/>
        <v>1986</v>
      </c>
      <c r="B36" s="27"/>
      <c r="C36" s="27"/>
      <c r="D36" s="39"/>
      <c r="E36" s="39"/>
      <c r="F36" s="39"/>
      <c r="G36" s="39"/>
      <c r="H36" s="39"/>
      <c r="I36" s="39"/>
      <c r="J36" s="39"/>
      <c r="K36" s="39"/>
      <c r="L36" s="39">
        <v>1</v>
      </c>
      <c r="M36" s="39">
        <v>0.09</v>
      </c>
      <c r="N36" s="39"/>
      <c r="O36" s="39"/>
      <c r="P36" s="39"/>
      <c r="Q36" s="39"/>
      <c r="R36" s="39">
        <v>0.142130716213905</v>
      </c>
      <c r="S36" s="39">
        <v>7.0361952487095106E-2</v>
      </c>
      <c r="T36" s="39"/>
      <c r="U36" s="39"/>
    </row>
    <row r="37" spans="1:27" s="34" customFormat="1" ht="12.75">
      <c r="A37" s="27">
        <f t="shared" si="0"/>
        <v>1987</v>
      </c>
      <c r="B37" s="27"/>
      <c r="C37" s="27"/>
      <c r="D37" s="39"/>
      <c r="E37" s="39"/>
      <c r="F37" s="39"/>
      <c r="G37" s="39"/>
      <c r="H37" s="39"/>
      <c r="I37" s="39"/>
      <c r="J37" s="39"/>
      <c r="K37" s="39"/>
      <c r="L37" s="39">
        <v>1.5</v>
      </c>
      <c r="M37" s="39">
        <v>0.1</v>
      </c>
      <c r="N37" s="39"/>
      <c r="O37" s="39"/>
      <c r="P37" s="39"/>
      <c r="Q37" s="39"/>
      <c r="R37" s="39">
        <v>0.16097630958939399</v>
      </c>
      <c r="S37" s="39">
        <v>7.3649738254378996E-2</v>
      </c>
      <c r="T37" s="39"/>
      <c r="U37" s="39"/>
    </row>
    <row r="38" spans="1:27" s="34" customFormat="1" ht="12.75">
      <c r="A38" s="27">
        <f t="shared" si="0"/>
        <v>1988</v>
      </c>
      <c r="B38" s="27"/>
      <c r="C38" s="27"/>
      <c r="D38" s="39"/>
      <c r="E38" s="39"/>
      <c r="F38" s="39"/>
      <c r="G38" s="39"/>
      <c r="H38" s="39"/>
      <c r="I38" s="39"/>
      <c r="J38" s="39"/>
      <c r="K38" s="39"/>
      <c r="L38" s="39">
        <v>1.3</v>
      </c>
      <c r="M38" s="39">
        <v>0.08</v>
      </c>
      <c r="N38" s="39"/>
      <c r="O38" s="39"/>
      <c r="P38" s="39"/>
      <c r="Q38" s="39"/>
      <c r="R38" s="39">
        <v>0.18779183538031499</v>
      </c>
      <c r="S38" s="39">
        <v>9.22801026088165E-2</v>
      </c>
      <c r="T38" s="39"/>
      <c r="U38" s="39"/>
      <c r="AA38" s="12"/>
    </row>
    <row r="39" spans="1:27" s="34" customFormat="1" ht="12.75">
      <c r="A39" s="27">
        <f t="shared" si="0"/>
        <v>1989</v>
      </c>
      <c r="B39" s="27"/>
      <c r="C39" s="27"/>
      <c r="D39" s="39"/>
      <c r="E39" s="39"/>
      <c r="F39" s="39">
        <v>9.6327999999999996</v>
      </c>
      <c r="G39" s="39">
        <v>6.497E-2</v>
      </c>
      <c r="H39" s="39">
        <v>516.60400000000004</v>
      </c>
      <c r="I39" s="39">
        <v>6.1881000000000005E-2</v>
      </c>
      <c r="J39" s="39"/>
      <c r="K39" s="39"/>
      <c r="L39" s="39">
        <v>1.2</v>
      </c>
      <c r="M39" s="39">
        <v>0.09</v>
      </c>
      <c r="N39" s="39"/>
      <c r="O39" s="39"/>
      <c r="P39" s="39"/>
      <c r="Q39" s="39"/>
      <c r="R39" s="39">
        <v>0.213383571139691</v>
      </c>
      <c r="S39" s="39">
        <v>9.3064833442520201E-2</v>
      </c>
      <c r="T39" s="39"/>
      <c r="U39" s="39"/>
      <c r="AA39" s="12"/>
    </row>
    <row r="40" spans="1:27" s="34" customFormat="1" ht="12.75">
      <c r="A40" s="27">
        <f t="shared" si="0"/>
        <v>1990</v>
      </c>
      <c r="B40" s="27"/>
      <c r="C40" s="27"/>
      <c r="D40" s="39"/>
      <c r="E40" s="39"/>
      <c r="F40" s="39">
        <v>7.2861000000000002</v>
      </c>
      <c r="G40" s="39">
        <v>4.6691000000000003E-2</v>
      </c>
      <c r="H40" s="39">
        <v>402.49299999999999</v>
      </c>
      <c r="I40" s="39">
        <v>4.4473000000000006E-2</v>
      </c>
      <c r="J40" s="39"/>
      <c r="K40" s="39"/>
      <c r="L40" s="39">
        <v>1.3</v>
      </c>
      <c r="M40" s="39">
        <v>0.09</v>
      </c>
      <c r="N40" s="39"/>
      <c r="O40" s="39"/>
      <c r="P40" s="39"/>
      <c r="Q40" s="39"/>
      <c r="R40" s="39">
        <v>0.181310091023724</v>
      </c>
      <c r="S40" s="39">
        <v>7.6592709729269098E-2</v>
      </c>
      <c r="T40" s="39"/>
      <c r="U40" s="39"/>
      <c r="AA40" s="12"/>
    </row>
    <row r="41" spans="1:27" s="34" customFormat="1" ht="12.75">
      <c r="A41" s="27">
        <f t="shared" si="0"/>
        <v>1991</v>
      </c>
      <c r="B41" s="27"/>
      <c r="C41" s="27"/>
      <c r="D41" s="39"/>
      <c r="E41" s="39"/>
      <c r="F41" s="39">
        <v>7.4092000000000002</v>
      </c>
      <c r="G41" s="39">
        <v>4.3688999999999999E-2</v>
      </c>
      <c r="H41" s="39">
        <v>394.51799999999997</v>
      </c>
      <c r="I41" s="39">
        <v>4.1614000000000005E-2</v>
      </c>
      <c r="J41" s="39"/>
      <c r="K41" s="39"/>
      <c r="L41" s="39"/>
      <c r="M41" s="39"/>
      <c r="N41" s="39">
        <v>2</v>
      </c>
      <c r="O41" s="39">
        <v>7.0000000000000007E-2</v>
      </c>
      <c r="P41" s="39"/>
      <c r="Q41" s="39"/>
      <c r="R41" s="39"/>
      <c r="S41" s="39"/>
      <c r="T41" s="39"/>
      <c r="U41" s="39"/>
      <c r="AA41" s="12"/>
    </row>
    <row r="42" spans="1:27" s="34" customFormat="1" ht="12.75">
      <c r="A42" s="27">
        <f t="shared" si="0"/>
        <v>1992</v>
      </c>
      <c r="B42" s="27"/>
      <c r="C42" s="27"/>
      <c r="D42" s="39"/>
      <c r="E42" s="39"/>
      <c r="F42" s="39">
        <v>6.6773999999999996</v>
      </c>
      <c r="G42" s="39">
        <v>4.0008000000000002E-2</v>
      </c>
      <c r="H42" s="39">
        <v>358.51499999999999</v>
      </c>
      <c r="I42" s="39">
        <v>3.8108000000000003E-2</v>
      </c>
      <c r="J42" s="39"/>
      <c r="K42" s="39"/>
      <c r="L42" s="39"/>
      <c r="M42" s="39"/>
      <c r="N42" s="39">
        <v>2.1</v>
      </c>
      <c r="O42" s="39">
        <v>0.15</v>
      </c>
      <c r="P42" s="39"/>
      <c r="Q42" s="39"/>
      <c r="R42" s="39"/>
      <c r="S42" s="39"/>
      <c r="T42" s="39"/>
      <c r="U42" s="39"/>
      <c r="AA42" s="12"/>
    </row>
    <row r="43" spans="1:27" s="34" customFormat="1" ht="12.75">
      <c r="A43" s="27">
        <f t="shared" si="0"/>
        <v>1993</v>
      </c>
      <c r="B43" s="27"/>
      <c r="C43" s="27"/>
      <c r="D43" s="39"/>
      <c r="E43" s="39"/>
      <c r="F43" s="39">
        <v>6.0407000000000002</v>
      </c>
      <c r="G43" s="39">
        <v>3.4675999999999998E-2</v>
      </c>
      <c r="H43" s="39">
        <v>311.089</v>
      </c>
      <c r="I43" s="39">
        <v>3.3029999999999997E-2</v>
      </c>
      <c r="J43" s="39"/>
      <c r="K43" s="39"/>
      <c r="L43" s="39"/>
      <c r="M43" s="39"/>
      <c r="N43" s="39">
        <v>1.5</v>
      </c>
      <c r="O43" s="39">
        <v>0.1</v>
      </c>
      <c r="P43" s="39"/>
      <c r="Q43" s="39"/>
      <c r="R43" s="39"/>
      <c r="S43" s="39"/>
      <c r="T43" s="39"/>
      <c r="U43" s="39"/>
      <c r="AA43" s="12"/>
    </row>
    <row r="44" spans="1:27" s="34" customFormat="1" ht="12.75">
      <c r="A44" s="27">
        <f t="shared" si="0"/>
        <v>1994</v>
      </c>
      <c r="B44" s="39">
        <v>9.3203949999999995</v>
      </c>
      <c r="C44" s="39">
        <v>4.6324799999999999E-2</v>
      </c>
      <c r="D44" s="39">
        <v>0.91500000000000004</v>
      </c>
      <c r="E44" s="39">
        <v>9.5000000000000001E-2</v>
      </c>
      <c r="F44" s="39">
        <v>7.3697999999999997</v>
      </c>
      <c r="G44" s="39">
        <v>3.5692000000000002E-2</v>
      </c>
      <c r="H44" s="39">
        <v>359.15199999999999</v>
      </c>
      <c r="I44" s="39">
        <v>3.3998E-2</v>
      </c>
      <c r="J44" s="39"/>
      <c r="K44" s="39"/>
      <c r="L44" s="39"/>
      <c r="M44" s="39"/>
      <c r="N44" s="39">
        <v>1.6</v>
      </c>
      <c r="O44" s="39">
        <v>0.09</v>
      </c>
      <c r="P44" s="39"/>
      <c r="Q44" s="39"/>
      <c r="R44" s="39"/>
      <c r="S44" s="39"/>
      <c r="T44" s="110">
        <v>0.58632003176731495</v>
      </c>
      <c r="U44" s="110">
        <v>6.8831920631603413E-2</v>
      </c>
      <c r="AA44" s="12"/>
    </row>
    <row r="45" spans="1:27" s="34" customFormat="1" ht="12.75">
      <c r="A45" s="27">
        <f t="shared" si="0"/>
        <v>1995</v>
      </c>
      <c r="B45" s="39">
        <v>8.2203470000000003</v>
      </c>
      <c r="C45" s="39">
        <v>4.5325280000000003E-2</v>
      </c>
      <c r="D45" s="39">
        <v>1.262</v>
      </c>
      <c r="E45" s="39">
        <v>6.9000000000000006E-2</v>
      </c>
      <c r="F45" s="39">
        <v>8.6716999999999995</v>
      </c>
      <c r="G45" s="39">
        <v>3.5237999999999998E-2</v>
      </c>
      <c r="H45" s="39">
        <v>410.60500000000002</v>
      </c>
      <c r="I45" s="39">
        <v>3.3563999999999997E-2</v>
      </c>
      <c r="J45" s="39"/>
      <c r="K45" s="39"/>
      <c r="L45" s="39"/>
      <c r="M45" s="39"/>
      <c r="N45" s="39">
        <v>1.2</v>
      </c>
      <c r="O45" s="39">
        <v>0.12</v>
      </c>
      <c r="P45" s="39"/>
      <c r="Q45" s="39"/>
      <c r="R45" s="39"/>
      <c r="S45" s="39"/>
      <c r="T45" s="110">
        <v>0.397020971834387</v>
      </c>
      <c r="U45" s="110">
        <v>6.2242573639100289E-2</v>
      </c>
      <c r="AA45" s="12"/>
    </row>
    <row r="46" spans="1:27" s="34" customFormat="1" ht="12.75">
      <c r="A46" s="27">
        <f t="shared" si="0"/>
        <v>1996</v>
      </c>
      <c r="B46" s="39">
        <v>8.7621029999999998</v>
      </c>
      <c r="C46" s="39">
        <v>4.4656099999999997E-2</v>
      </c>
      <c r="D46" s="39">
        <v>1.216</v>
      </c>
      <c r="E46" s="39">
        <v>7.0999999999999994E-2</v>
      </c>
      <c r="F46" s="39">
        <v>7.5808999999999997</v>
      </c>
      <c r="G46" s="39">
        <v>3.3862000000000003E-2</v>
      </c>
      <c r="H46" s="39">
        <v>365.61099999999999</v>
      </c>
      <c r="I46" s="39">
        <v>3.2253999999999998E-2</v>
      </c>
      <c r="J46" s="39"/>
      <c r="K46" s="39"/>
      <c r="L46" s="39"/>
      <c r="M46" s="39"/>
      <c r="N46" s="39">
        <v>1.2</v>
      </c>
      <c r="O46" s="39">
        <v>0.13</v>
      </c>
      <c r="P46" s="39"/>
      <c r="Q46" s="39"/>
      <c r="R46" s="39"/>
      <c r="S46" s="39"/>
      <c r="T46" s="110">
        <v>0.43723129326850702</v>
      </c>
      <c r="U46" s="110">
        <v>5.1993661397884722E-2</v>
      </c>
      <c r="AA46" s="12"/>
    </row>
    <row r="47" spans="1:27" s="34" customFormat="1" ht="12.75">
      <c r="A47" s="27">
        <f t="shared" si="0"/>
        <v>1997</v>
      </c>
      <c r="B47" s="39">
        <v>7.3664690000000004</v>
      </c>
      <c r="C47" s="39">
        <v>4.4766050000000002E-2</v>
      </c>
      <c r="D47" s="39">
        <v>1.1910000000000001</v>
      </c>
      <c r="E47" s="39">
        <v>7.2999999999999995E-2</v>
      </c>
      <c r="F47" s="39">
        <v>7.6167999999999996</v>
      </c>
      <c r="G47" s="39">
        <v>3.1040999999999999E-2</v>
      </c>
      <c r="H47" s="39">
        <v>360.35599999999999</v>
      </c>
      <c r="I47" s="39">
        <v>2.9567E-2</v>
      </c>
      <c r="J47" s="39"/>
      <c r="K47" s="39"/>
      <c r="L47" s="39"/>
      <c r="M47" s="39"/>
      <c r="N47" s="39">
        <v>1.3</v>
      </c>
      <c r="O47" s="39">
        <v>0.15</v>
      </c>
      <c r="P47" s="39"/>
      <c r="Q47" s="39"/>
      <c r="R47" s="39"/>
      <c r="S47" s="39"/>
      <c r="T47" s="110">
        <v>0.27092018032151399</v>
      </c>
      <c r="U47" s="110">
        <v>5.571789138672472E-2</v>
      </c>
      <c r="AA47" s="12"/>
    </row>
    <row r="48" spans="1:27" s="34" customFormat="1" ht="12.75">
      <c r="A48" s="27">
        <f t="shared" si="0"/>
        <v>1998</v>
      </c>
      <c r="B48" s="39">
        <v>8.628698</v>
      </c>
      <c r="C48" s="39">
        <v>4.492136E-2</v>
      </c>
      <c r="D48" s="39">
        <v>1.2490000000000001</v>
      </c>
      <c r="E48" s="39">
        <v>7.0000000000000007E-2</v>
      </c>
      <c r="F48" s="39">
        <v>7.5117000000000003</v>
      </c>
      <c r="G48" s="39">
        <v>3.3433999999999998E-2</v>
      </c>
      <c r="H48" s="39">
        <v>348.78800000000001</v>
      </c>
      <c r="I48" s="39">
        <v>3.1847E-2</v>
      </c>
      <c r="J48" s="39"/>
      <c r="K48" s="39"/>
      <c r="L48" s="39"/>
      <c r="M48" s="39"/>
      <c r="N48" s="39">
        <v>1.2</v>
      </c>
      <c r="O48" s="39">
        <v>0.14000000000000001</v>
      </c>
      <c r="P48" s="39"/>
      <c r="Q48" s="39"/>
      <c r="R48" s="39"/>
      <c r="S48" s="39"/>
      <c r="T48" s="39">
        <v>0.201281962415262</v>
      </c>
      <c r="U48" s="39">
        <v>6.458413963498455E-2</v>
      </c>
      <c r="AA48" s="12"/>
    </row>
    <row r="49" spans="1:1006" s="34" customFormat="1" ht="12.75">
      <c r="A49" s="27">
        <f t="shared" si="0"/>
        <v>1999</v>
      </c>
      <c r="B49" s="39">
        <v>6.1147470000000004</v>
      </c>
      <c r="C49" s="39">
        <v>4.4221870000000003E-2</v>
      </c>
      <c r="D49" s="39">
        <v>1.032</v>
      </c>
      <c r="E49" s="39">
        <v>8.4000000000000005E-2</v>
      </c>
      <c r="F49" s="39">
        <v>7.87</v>
      </c>
      <c r="G49" s="39">
        <v>3.4287999999999999E-2</v>
      </c>
      <c r="H49" s="39">
        <v>380.93099999999998</v>
      </c>
      <c r="I49" s="39">
        <v>3.2660000000000002E-2</v>
      </c>
      <c r="J49" s="39"/>
      <c r="K49" s="39"/>
      <c r="L49" s="39"/>
      <c r="M49" s="39"/>
      <c r="N49" s="39">
        <v>1.1000000000000001</v>
      </c>
      <c r="O49" s="39">
        <v>0.14000000000000001</v>
      </c>
      <c r="P49" s="39"/>
      <c r="Q49" s="39"/>
      <c r="R49" s="39"/>
      <c r="S49" s="39"/>
      <c r="T49" s="39">
        <v>0.18563456252924601</v>
      </c>
      <c r="U49" s="39">
        <v>5.1787830025162511E-2</v>
      </c>
      <c r="AA49" s="12"/>
    </row>
    <row r="50" spans="1:1006" s="34" customFormat="1" ht="12.75">
      <c r="A50" s="27">
        <f t="shared" si="0"/>
        <v>2000</v>
      </c>
      <c r="B50" s="39">
        <v>6.8952159999999996</v>
      </c>
      <c r="C50" s="39">
        <v>4.4271720000000001E-2</v>
      </c>
      <c r="D50" s="39">
        <v>1.042</v>
      </c>
      <c r="E50" s="39">
        <v>8.3000000000000004E-2</v>
      </c>
      <c r="F50" s="39">
        <v>9.7861999999999991</v>
      </c>
      <c r="G50" s="39">
        <v>3.5203999999999999E-2</v>
      </c>
      <c r="H50" s="39">
        <v>466.488</v>
      </c>
      <c r="I50" s="39">
        <v>3.3530999999999998E-2</v>
      </c>
      <c r="J50" s="39"/>
      <c r="K50" s="39"/>
      <c r="L50" s="39"/>
      <c r="M50" s="39"/>
      <c r="N50" s="39">
        <v>1.2</v>
      </c>
      <c r="O50" s="39">
        <v>0.11</v>
      </c>
      <c r="P50" s="39"/>
      <c r="Q50" s="39"/>
      <c r="R50" s="39"/>
      <c r="S50" s="39"/>
      <c r="T50" s="39">
        <v>0.225719883111792</v>
      </c>
      <c r="U50" s="39">
        <v>5.6578687377460538E-2</v>
      </c>
      <c r="AA50" s="12"/>
    </row>
    <row r="51" spans="1:1006" s="34" customFormat="1" ht="12.75">
      <c r="A51" s="27">
        <f t="shared" si="0"/>
        <v>2001</v>
      </c>
      <c r="B51" s="39">
        <v>6.1723359999999996</v>
      </c>
      <c r="C51" s="39">
        <v>4.4385180000000003E-2</v>
      </c>
      <c r="D51" s="39">
        <v>0.93</v>
      </c>
      <c r="E51" s="39">
        <v>9.3000000000000013E-2</v>
      </c>
      <c r="F51" s="39">
        <v>8.4440000000000008</v>
      </c>
      <c r="G51" s="39">
        <v>3.0510000000000002E-2</v>
      </c>
      <c r="H51" s="39">
        <v>419.36700000000002</v>
      </c>
      <c r="I51" s="39">
        <v>2.9061E-2</v>
      </c>
      <c r="J51" s="39"/>
      <c r="K51" s="39"/>
      <c r="L51" s="39"/>
      <c r="M51" s="39"/>
      <c r="N51" s="39">
        <v>1</v>
      </c>
      <c r="O51" s="39">
        <v>0.12</v>
      </c>
      <c r="P51" s="39"/>
      <c r="Q51" s="39"/>
      <c r="R51" s="39"/>
      <c r="S51" s="39"/>
      <c r="T51" s="39">
        <v>0.187062237012422</v>
      </c>
      <c r="U51" s="39">
        <v>6.4062501265181745E-2</v>
      </c>
      <c r="AA51" s="12"/>
    </row>
    <row r="52" spans="1:1006" s="34" customFormat="1" ht="12.75">
      <c r="A52" s="27">
        <f t="shared" si="0"/>
        <v>2002</v>
      </c>
      <c r="B52" s="39">
        <v>4.6430639999999999</v>
      </c>
      <c r="C52" s="39">
        <v>4.4063209999999998E-2</v>
      </c>
      <c r="D52" s="39">
        <v>0.80300000000000005</v>
      </c>
      <c r="E52" s="39">
        <v>0.10800000000000001</v>
      </c>
      <c r="F52" s="39">
        <v>7.9873000000000003</v>
      </c>
      <c r="G52" s="39">
        <v>3.1067000000000001E-2</v>
      </c>
      <c r="H52" s="39">
        <v>402.28899999999999</v>
      </c>
      <c r="I52" s="39">
        <v>2.9592E-2</v>
      </c>
      <c r="J52" s="39"/>
      <c r="K52" s="39"/>
      <c r="L52" s="39"/>
      <c r="M52" s="39"/>
      <c r="N52" s="39">
        <v>0.96</v>
      </c>
      <c r="O52" s="39">
        <v>0.16</v>
      </c>
      <c r="P52" s="39"/>
      <c r="Q52" s="39"/>
      <c r="R52" s="39"/>
      <c r="S52" s="39"/>
      <c r="T52" s="39">
        <v>0.192992412411777</v>
      </c>
      <c r="U52" s="39">
        <v>5.9098013318108086E-2</v>
      </c>
      <c r="AA52" s="12"/>
    </row>
    <row r="53" spans="1:1006" s="34" customFormat="1" ht="12.75">
      <c r="A53" s="27">
        <f t="shared" si="0"/>
        <v>2003</v>
      </c>
      <c r="B53" s="39">
        <v>6.1821510000000002</v>
      </c>
      <c r="C53" s="39">
        <v>4.4427290000000001E-2</v>
      </c>
      <c r="D53" s="39">
        <v>1.056</v>
      </c>
      <c r="E53" s="39">
        <v>8.199999999999999E-2</v>
      </c>
      <c r="F53" s="39">
        <v>7.3726000000000003</v>
      </c>
      <c r="G53" s="39">
        <v>3.3549999999999996E-2</v>
      </c>
      <c r="H53" s="39">
        <v>355.93099999999998</v>
      </c>
      <c r="I53" s="39">
        <v>3.1958E-2</v>
      </c>
      <c r="J53" s="39"/>
      <c r="K53" s="39"/>
      <c r="L53" s="39"/>
      <c r="M53" s="39"/>
      <c r="N53" s="39">
        <v>0.63</v>
      </c>
      <c r="O53" s="39">
        <v>0.13</v>
      </c>
      <c r="P53" s="39"/>
      <c r="Q53" s="39"/>
      <c r="R53" s="39"/>
      <c r="S53" s="39"/>
      <c r="T53" s="39">
        <v>0.17051732650038801</v>
      </c>
      <c r="U53" s="39">
        <v>6.9742868579697886E-2</v>
      </c>
      <c r="AA53" s="12"/>
    </row>
    <row r="54" spans="1:1006" s="34" customFormat="1" ht="12.75">
      <c r="A54" s="27">
        <f t="shared" si="0"/>
        <v>2004</v>
      </c>
      <c r="B54" s="39">
        <v>5.494389</v>
      </c>
      <c r="C54" s="39">
        <v>4.3936900000000001E-2</v>
      </c>
      <c r="D54" s="39">
        <v>1.0169999999999999</v>
      </c>
      <c r="E54" s="39">
        <v>8.5000000000000006E-2</v>
      </c>
      <c r="F54" s="39">
        <v>7.4897999999999998</v>
      </c>
      <c r="G54" s="39">
        <v>4.1128999999999999E-2</v>
      </c>
      <c r="H54" s="39">
        <v>347.28300000000002</v>
      </c>
      <c r="I54" s="39">
        <v>3.9176000000000002E-2</v>
      </c>
      <c r="J54" s="39"/>
      <c r="K54" s="39"/>
      <c r="L54" s="39"/>
      <c r="M54" s="39"/>
      <c r="N54" s="39">
        <v>0.62</v>
      </c>
      <c r="O54" s="39">
        <v>0.15</v>
      </c>
      <c r="P54" s="39">
        <v>1.25</v>
      </c>
      <c r="Q54" s="39">
        <v>0.1358</v>
      </c>
      <c r="R54" s="39"/>
      <c r="S54" s="39"/>
      <c r="T54" s="39">
        <v>0.138148876372749</v>
      </c>
      <c r="U54" s="39">
        <v>6.4060674529472547E-2</v>
      </c>
      <c r="AA54" s="12"/>
    </row>
    <row r="55" spans="1:1006" s="34" customFormat="1" ht="12.75">
      <c r="A55" s="27">
        <f t="shared" si="0"/>
        <v>2005</v>
      </c>
      <c r="B55" s="39">
        <v>5.4619790000000004</v>
      </c>
      <c r="C55" s="39">
        <v>4.3840129999999998E-2</v>
      </c>
      <c r="D55" s="39">
        <v>1.145</v>
      </c>
      <c r="E55" s="39">
        <v>7.5999999999999998E-2</v>
      </c>
      <c r="F55" s="39">
        <v>8.9107000000000003</v>
      </c>
      <c r="G55" s="39">
        <v>4.0475000000000004E-2</v>
      </c>
      <c r="H55" s="39">
        <v>422.90499999999997</v>
      </c>
      <c r="I55" s="39">
        <v>3.8552000000000003E-2</v>
      </c>
      <c r="J55" s="39"/>
      <c r="K55" s="39"/>
      <c r="L55" s="39"/>
      <c r="M55" s="39"/>
      <c r="N55" s="39">
        <v>0.74</v>
      </c>
      <c r="O55" s="39">
        <v>0.16</v>
      </c>
      <c r="P55" s="39">
        <v>1.95</v>
      </c>
      <c r="Q55" s="39">
        <v>0.1079</v>
      </c>
      <c r="R55" s="39"/>
      <c r="S55" s="39"/>
      <c r="T55" s="39">
        <v>0.136326258637188</v>
      </c>
      <c r="U55" s="39">
        <v>6.6551399823137833E-2</v>
      </c>
      <c r="AA55" s="12"/>
    </row>
    <row r="56" spans="1:1006" s="34" customFormat="1" ht="12.75">
      <c r="A56" s="27">
        <f t="shared" si="0"/>
        <v>2006</v>
      </c>
      <c r="B56" s="39">
        <v>7.6629709999999998</v>
      </c>
      <c r="C56" s="39">
        <v>4.3829609999999998E-2</v>
      </c>
      <c r="D56" s="39">
        <v>1.161</v>
      </c>
      <c r="E56" s="39">
        <v>7.4999999999999997E-2</v>
      </c>
      <c r="F56" s="39">
        <v>8.8582999999999998</v>
      </c>
      <c r="G56" s="39">
        <v>3.9330999999999998E-2</v>
      </c>
      <c r="H56" s="39">
        <v>422.565</v>
      </c>
      <c r="I56" s="39">
        <v>3.7463000000000003E-2</v>
      </c>
      <c r="J56" s="39"/>
      <c r="K56" s="39"/>
      <c r="L56" s="39"/>
      <c r="M56" s="39"/>
      <c r="N56" s="39">
        <v>1.3</v>
      </c>
      <c r="O56" s="39">
        <v>0.17</v>
      </c>
      <c r="P56" s="39">
        <v>1.49</v>
      </c>
      <c r="Q56" s="39">
        <v>0.12359999999999999</v>
      </c>
      <c r="R56" s="39"/>
      <c r="S56" s="39"/>
      <c r="T56" s="39">
        <v>0.31501877223580799</v>
      </c>
      <c r="U56" s="39">
        <v>6.7083124196364544E-2</v>
      </c>
      <c r="AA56" s="12"/>
    </row>
    <row r="57" spans="1:1006" s="34" customFormat="1" ht="12.75">
      <c r="A57" s="27">
        <f t="shared" si="0"/>
        <v>2007</v>
      </c>
      <c r="B57" s="39">
        <v>8.0987469999999995</v>
      </c>
      <c r="C57" s="39">
        <v>4.3824759999999997E-2</v>
      </c>
      <c r="D57" s="39">
        <v>1.304</v>
      </c>
      <c r="E57" s="39">
        <v>6.7000000000000004E-2</v>
      </c>
      <c r="F57" s="39">
        <v>8.6100999999999992</v>
      </c>
      <c r="G57" s="39">
        <v>4.0254999999999999E-2</v>
      </c>
      <c r="H57" s="39">
        <v>414.29500000000002</v>
      </c>
      <c r="I57" s="39">
        <v>3.8342999999999995E-2</v>
      </c>
      <c r="J57" s="39"/>
      <c r="K57" s="39"/>
      <c r="L57" s="39"/>
      <c r="M57" s="39"/>
      <c r="N57" s="39">
        <v>1</v>
      </c>
      <c r="O57" s="39">
        <v>0.18</v>
      </c>
      <c r="P57" s="39">
        <v>1.36</v>
      </c>
      <c r="Q57" s="39">
        <v>0.1192</v>
      </c>
      <c r="R57" s="39"/>
      <c r="S57" s="39"/>
      <c r="T57" s="39">
        <v>0.21815637667617199</v>
      </c>
      <c r="U57" s="39">
        <v>6.0986344841228661E-2</v>
      </c>
      <c r="AA57" s="12"/>
    </row>
    <row r="58" spans="1:1006" s="34" customFormat="1" ht="12.75">
      <c r="A58" s="27">
        <f t="shared" si="0"/>
        <v>2008</v>
      </c>
      <c r="B58" s="39">
        <v>8.2574240000000003</v>
      </c>
      <c r="C58" s="39">
        <v>4.4331309999999999E-2</v>
      </c>
      <c r="D58" s="39">
        <v>1.206</v>
      </c>
      <c r="E58" s="39">
        <v>7.2000000000000008E-2</v>
      </c>
      <c r="F58" s="39">
        <v>8.1821000000000002</v>
      </c>
      <c r="G58" s="39">
        <v>3.5993999999999998E-2</v>
      </c>
      <c r="H58" s="39">
        <v>402.00099999999998</v>
      </c>
      <c r="I58" s="39">
        <v>3.4284000000000002E-2</v>
      </c>
      <c r="J58" s="39"/>
      <c r="K58" s="39"/>
      <c r="L58" s="39"/>
      <c r="M58" s="39"/>
      <c r="N58" s="39">
        <v>0.82</v>
      </c>
      <c r="O58" s="39">
        <v>0.15</v>
      </c>
      <c r="P58" s="39">
        <v>0.92</v>
      </c>
      <c r="Q58" s="39">
        <v>0.12710000000000002</v>
      </c>
      <c r="R58" s="39"/>
      <c r="S58" s="39"/>
      <c r="T58" s="39">
        <v>0.29318321004556203</v>
      </c>
      <c r="U58" s="39">
        <v>6.215377798284602E-2</v>
      </c>
      <c r="AA58" s="12"/>
    </row>
    <row r="59" spans="1:1006" s="34" customFormat="1" ht="12.75">
      <c r="A59" s="27">
        <f t="shared" si="0"/>
        <v>2009</v>
      </c>
      <c r="B59" s="39">
        <v>6.7138989999999996</v>
      </c>
      <c r="C59" s="39">
        <v>4.4435389999999998E-2</v>
      </c>
      <c r="D59" s="39">
        <v>1.0589999999999999</v>
      </c>
      <c r="E59" s="39">
        <v>8.199999999999999E-2</v>
      </c>
      <c r="F59" s="39">
        <v>8.9045000000000005</v>
      </c>
      <c r="G59" s="39">
        <v>3.4491000000000001E-2</v>
      </c>
      <c r="H59" s="39">
        <v>442.35500000000002</v>
      </c>
      <c r="I59" s="39">
        <v>3.2854000000000001E-2</v>
      </c>
      <c r="J59" s="39"/>
      <c r="K59" s="39"/>
      <c r="L59" s="39"/>
      <c r="M59" s="39"/>
      <c r="N59" s="39">
        <v>0.64</v>
      </c>
      <c r="O59" s="39">
        <v>0.12</v>
      </c>
      <c r="P59" s="39">
        <v>0.85</v>
      </c>
      <c r="Q59" s="39">
        <v>0.1285</v>
      </c>
      <c r="R59" s="39"/>
      <c r="S59" s="39"/>
      <c r="T59" s="39">
        <v>0.222037955458778</v>
      </c>
      <c r="U59" s="39">
        <v>6.3561330102506391E-2</v>
      </c>
      <c r="AA59" s="12"/>
    </row>
    <row r="60" spans="1:1006" s="34" customFormat="1" ht="12.75">
      <c r="A60" s="27">
        <f t="shared" si="0"/>
        <v>2010</v>
      </c>
      <c r="B60" s="39">
        <v>5.5972059999999999</v>
      </c>
      <c r="C60" s="39">
        <v>4.5089990000000003E-2</v>
      </c>
      <c r="D60" s="39">
        <v>1.1419999999999999</v>
      </c>
      <c r="E60" s="39">
        <v>7.5999999999999998E-2</v>
      </c>
      <c r="F60" s="39">
        <v>9.0088000000000008</v>
      </c>
      <c r="G60" s="39">
        <v>3.6012000000000002E-2</v>
      </c>
      <c r="H60" s="39">
        <v>432.81900000000002</v>
      </c>
      <c r="I60" s="39">
        <v>3.4300999999999998E-2</v>
      </c>
      <c r="J60" s="39"/>
      <c r="K60" s="39"/>
      <c r="L60" s="39"/>
      <c r="M60" s="39"/>
      <c r="N60" s="39">
        <v>0.84</v>
      </c>
      <c r="O60" s="39">
        <v>0.12</v>
      </c>
      <c r="P60" s="39">
        <v>1.27</v>
      </c>
      <c r="Q60" s="39">
        <v>0.11509999999999999</v>
      </c>
      <c r="R60" s="39"/>
      <c r="S60" s="39"/>
      <c r="T60" s="39">
        <v>0.154491335521873</v>
      </c>
      <c r="U60" s="39">
        <v>7.0181860068074267E-2</v>
      </c>
      <c r="AA60" s="12"/>
    </row>
    <row r="61" spans="1:1006" s="34" customFormat="1" ht="12.75">
      <c r="A61" s="27">
        <f t="shared" si="0"/>
        <v>2011</v>
      </c>
      <c r="B61" s="39">
        <v>4.7201839999999997</v>
      </c>
      <c r="C61" s="39">
        <v>4.4620050000000001E-2</v>
      </c>
      <c r="D61" s="39">
        <v>1.073</v>
      </c>
      <c r="E61" s="39">
        <v>9.1999999999999998E-2</v>
      </c>
      <c r="F61" s="39">
        <v>8.6811000000000007</v>
      </c>
      <c r="G61" s="39">
        <v>3.4881999999999996E-2</v>
      </c>
      <c r="H61" s="39">
        <v>419.6</v>
      </c>
      <c r="I61" s="39">
        <v>3.3224999999999998E-2</v>
      </c>
      <c r="J61" s="39"/>
      <c r="K61" s="39"/>
      <c r="L61" s="39"/>
      <c r="M61" s="39"/>
      <c r="N61" s="39">
        <v>0.57999999999999996</v>
      </c>
      <c r="O61" s="39">
        <v>7.0000000000000007E-2</v>
      </c>
      <c r="P61" s="39">
        <v>0.61</v>
      </c>
      <c r="Q61" s="39">
        <v>0.13930000000000001</v>
      </c>
      <c r="R61" s="39"/>
      <c r="S61" s="39"/>
      <c r="T61" s="39">
        <v>0.15193976195143399</v>
      </c>
      <c r="U61" s="39">
        <v>6.2632578354188964E-2</v>
      </c>
      <c r="AA61" s="12"/>
    </row>
    <row r="62" spans="1:1006" s="34" customFormat="1" ht="12.75">
      <c r="A62" s="27">
        <f t="shared" si="0"/>
        <v>2012</v>
      </c>
      <c r="B62" s="39">
        <v>5.1592269999999996</v>
      </c>
      <c r="C62" s="39">
        <v>4.4410140000000001E-2</v>
      </c>
      <c r="D62" s="39">
        <v>1.1040000000000001</v>
      </c>
      <c r="E62" s="39">
        <v>7.9000000000000001E-2</v>
      </c>
      <c r="F62" s="39">
        <v>9.2303999999999995</v>
      </c>
      <c r="G62" s="39">
        <v>3.8233999999999997E-2</v>
      </c>
      <c r="H62" s="39">
        <v>446.983</v>
      </c>
      <c r="I62" s="39">
        <v>3.6417999999999999E-2</v>
      </c>
      <c r="J62" s="39"/>
      <c r="K62" s="39"/>
      <c r="L62" s="39"/>
      <c r="M62" s="39"/>
      <c r="N62" s="39">
        <v>0.67</v>
      </c>
      <c r="O62" s="39">
        <v>0.08</v>
      </c>
      <c r="P62" s="39">
        <v>0.54</v>
      </c>
      <c r="Q62" s="39">
        <v>0.1502</v>
      </c>
      <c r="R62" s="39"/>
      <c r="S62" s="39"/>
      <c r="T62" s="39">
        <v>0.16068141182922899</v>
      </c>
      <c r="U62" s="39">
        <v>6.8329965711744989E-2</v>
      </c>
      <c r="AA62" s="12"/>
    </row>
    <row r="63" spans="1:1006" s="34" customFormat="1" ht="12.75">
      <c r="A63" s="27">
        <f t="shared" si="0"/>
        <v>2013</v>
      </c>
      <c r="B63" s="39">
        <v>6.5476000000000001</v>
      </c>
      <c r="C63" s="39">
        <v>4.491742E-2</v>
      </c>
      <c r="D63" s="39">
        <v>1.2689999999999999</v>
      </c>
      <c r="E63" s="39">
        <v>6.8000000000000005E-2</v>
      </c>
      <c r="F63" s="39">
        <v>9.0305</v>
      </c>
      <c r="G63" s="39">
        <v>3.9774999999999998E-2</v>
      </c>
      <c r="H63" s="39">
        <v>447.61700000000002</v>
      </c>
      <c r="I63" s="39">
        <v>3.7886000000000003E-2</v>
      </c>
      <c r="J63" s="39"/>
      <c r="K63" s="39"/>
      <c r="L63" s="39"/>
      <c r="M63" s="39"/>
      <c r="N63" s="39">
        <v>0.75</v>
      </c>
      <c r="O63" s="39">
        <v>0.1</v>
      </c>
      <c r="P63" s="39">
        <v>0.88</v>
      </c>
      <c r="Q63" s="39">
        <v>0.13600000000000001</v>
      </c>
      <c r="R63" s="39"/>
      <c r="S63" s="39"/>
      <c r="T63" s="39">
        <v>0.22246191958877401</v>
      </c>
      <c r="U63" s="39">
        <v>6.5476876541363929E-2</v>
      </c>
      <c r="AA63" s="12"/>
    </row>
    <row r="64" spans="1:1006" s="35" customFormat="1">
      <c r="A64" s="27">
        <f t="shared" si="0"/>
        <v>2014</v>
      </c>
      <c r="B64" s="39">
        <v>5.2539300000000004</v>
      </c>
      <c r="C64" s="39">
        <v>4.4173039999999997E-2</v>
      </c>
      <c r="D64" s="39">
        <v>1.304</v>
      </c>
      <c r="E64" s="39">
        <v>6.7000000000000004E-2</v>
      </c>
      <c r="F64" s="39">
        <v>9.1165000000000003</v>
      </c>
      <c r="G64" s="39">
        <v>4.0911999999999997E-2</v>
      </c>
      <c r="H64" s="39">
        <v>472.35300000000001</v>
      </c>
      <c r="I64" s="39">
        <v>3.8969000000000004E-2</v>
      </c>
      <c r="J64" s="39"/>
      <c r="K64" s="39"/>
      <c r="L64" s="39"/>
      <c r="M64" s="39"/>
      <c r="N64" s="39">
        <v>0.84</v>
      </c>
      <c r="O64" s="39">
        <v>0.15</v>
      </c>
      <c r="P64" s="39">
        <v>0.83</v>
      </c>
      <c r="Q64" s="39">
        <v>0.13159999999999999</v>
      </c>
      <c r="R64" s="39"/>
      <c r="S64" s="39"/>
      <c r="T64" s="39">
        <v>0.16892338374146501</v>
      </c>
      <c r="U64" s="39">
        <v>6.7905048053044231E-2</v>
      </c>
      <c r="Z64" s="34"/>
      <c r="AA64" s="12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  <c r="IC64" s="34"/>
      <c r="ID64" s="34"/>
      <c r="IE64" s="34"/>
      <c r="IF64" s="34"/>
      <c r="IG64" s="34"/>
      <c r="IH64" s="34"/>
      <c r="II64" s="34"/>
      <c r="IJ64" s="34"/>
      <c r="IK64" s="34"/>
      <c r="IL64" s="34"/>
      <c r="IM64" s="34"/>
      <c r="IN64" s="34"/>
      <c r="IO64" s="34"/>
      <c r="IP64" s="34"/>
      <c r="IQ64" s="34"/>
      <c r="IR64" s="34"/>
      <c r="IS64" s="34"/>
      <c r="IT64" s="34"/>
      <c r="IU64" s="34"/>
      <c r="IV64" s="34"/>
      <c r="IW64" s="34"/>
      <c r="IX64" s="34"/>
      <c r="IY64" s="34"/>
      <c r="IZ64" s="34"/>
      <c r="JA64" s="34"/>
      <c r="JB64" s="34"/>
      <c r="JC64" s="34"/>
      <c r="JD64" s="34"/>
      <c r="JE64" s="34"/>
      <c r="JF64" s="34"/>
      <c r="JG64" s="34"/>
      <c r="JH64" s="34"/>
      <c r="JI64" s="34"/>
      <c r="JJ64" s="34"/>
      <c r="JK64" s="34"/>
      <c r="JL64" s="34"/>
      <c r="JM64" s="34"/>
      <c r="JN64" s="34"/>
      <c r="JO64" s="34"/>
      <c r="JP64" s="34"/>
      <c r="JQ64" s="34"/>
      <c r="JR64" s="34"/>
      <c r="JS64" s="34"/>
      <c r="JT64" s="34"/>
      <c r="JU64" s="34"/>
      <c r="JV64" s="34"/>
      <c r="JW64" s="34"/>
      <c r="JX64" s="34"/>
      <c r="JY64" s="34"/>
      <c r="JZ64" s="34"/>
      <c r="KA64" s="34"/>
      <c r="KB64" s="34"/>
      <c r="KC64" s="34"/>
      <c r="KD64" s="34"/>
      <c r="KE64" s="34"/>
      <c r="KF64" s="34"/>
      <c r="KG64" s="34"/>
      <c r="KH64" s="34"/>
      <c r="KI64" s="34"/>
      <c r="KJ64" s="34"/>
      <c r="KK64" s="34"/>
      <c r="KL64" s="34"/>
      <c r="KM64" s="34"/>
      <c r="KN64" s="34"/>
      <c r="KO64" s="34"/>
      <c r="KP64" s="34"/>
      <c r="KQ64" s="34"/>
      <c r="KR64" s="34"/>
      <c r="KS64" s="34"/>
      <c r="KT64" s="34"/>
      <c r="KU64" s="34"/>
      <c r="KV64" s="34"/>
      <c r="KW64" s="34"/>
      <c r="KX64" s="34"/>
      <c r="KY64" s="34"/>
      <c r="KZ64" s="34"/>
      <c r="LA64" s="34"/>
      <c r="LB64" s="34"/>
      <c r="LC64" s="34"/>
      <c r="LD64" s="34"/>
      <c r="LE64" s="34"/>
      <c r="LF64" s="34"/>
      <c r="LG64" s="34"/>
      <c r="LH64" s="34"/>
      <c r="LI64" s="34"/>
      <c r="LJ64" s="34"/>
      <c r="LK64" s="34"/>
      <c r="LL64" s="34"/>
      <c r="LM64" s="34"/>
      <c r="LN64" s="34"/>
      <c r="LO64" s="34"/>
      <c r="LP64" s="34"/>
      <c r="LQ64" s="34"/>
      <c r="LR64" s="34"/>
      <c r="LS64" s="34"/>
      <c r="LT64" s="34"/>
      <c r="LU64" s="34"/>
      <c r="LV64" s="34"/>
      <c r="LW64" s="34"/>
      <c r="LX64" s="34"/>
      <c r="LY64" s="34"/>
      <c r="LZ64" s="34"/>
      <c r="MA64" s="34"/>
      <c r="MB64" s="34"/>
      <c r="MC64" s="34"/>
      <c r="MD64" s="34"/>
      <c r="ME64" s="34"/>
      <c r="MF64" s="34"/>
      <c r="MG64" s="34"/>
      <c r="MH64" s="34"/>
      <c r="MI64" s="34"/>
      <c r="MJ64" s="34"/>
      <c r="MK64" s="34"/>
      <c r="ML64" s="34"/>
      <c r="MM64" s="34"/>
      <c r="MN64" s="34"/>
      <c r="MO64" s="34"/>
      <c r="MP64" s="34"/>
      <c r="MQ64" s="34"/>
      <c r="MR64" s="34"/>
      <c r="MS64" s="34"/>
      <c r="MT64" s="34"/>
      <c r="MU64" s="34"/>
      <c r="MV64" s="34"/>
      <c r="MW64" s="34"/>
      <c r="MX64" s="34"/>
      <c r="MY64" s="34"/>
      <c r="MZ64" s="34"/>
      <c r="NA64" s="34"/>
      <c r="NB64" s="34"/>
      <c r="NC64" s="34"/>
      <c r="ND64" s="34"/>
      <c r="NE64" s="34"/>
      <c r="NF64" s="34"/>
      <c r="NG64" s="34"/>
      <c r="NH64" s="34"/>
      <c r="NI64" s="34"/>
      <c r="NJ64" s="34"/>
      <c r="NK64" s="34"/>
      <c r="NL64" s="34"/>
      <c r="NM64" s="34"/>
      <c r="NN64" s="34"/>
      <c r="NO64" s="34"/>
      <c r="NP64" s="34"/>
      <c r="NQ64" s="34"/>
      <c r="NR64" s="34"/>
      <c r="NS64" s="34"/>
      <c r="NT64" s="34"/>
      <c r="NU64" s="34"/>
      <c r="NV64" s="34"/>
      <c r="NW64" s="34"/>
      <c r="NX64" s="34"/>
      <c r="NY64" s="34"/>
      <c r="NZ64" s="34"/>
      <c r="OA64" s="34"/>
      <c r="OB64" s="34"/>
      <c r="OC64" s="34"/>
      <c r="OD64" s="34"/>
      <c r="OE64" s="34"/>
      <c r="OF64" s="34"/>
      <c r="OG64" s="34"/>
      <c r="OH64" s="34"/>
      <c r="OI64" s="34"/>
      <c r="OJ64" s="34"/>
      <c r="OK64" s="34"/>
      <c r="OL64" s="34"/>
      <c r="OM64" s="34"/>
      <c r="ON64" s="34"/>
      <c r="OO64" s="34"/>
      <c r="OP64" s="34"/>
      <c r="OQ64" s="34"/>
      <c r="OR64" s="34"/>
      <c r="OS64" s="34"/>
      <c r="OT64" s="34"/>
      <c r="OU64" s="34"/>
      <c r="OV64" s="34"/>
      <c r="OW64" s="34"/>
      <c r="OX64" s="34"/>
      <c r="OY64" s="34"/>
      <c r="OZ64" s="34"/>
      <c r="PA64" s="34"/>
      <c r="PB64" s="34"/>
      <c r="PC64" s="34"/>
      <c r="PD64" s="34"/>
      <c r="PE64" s="34"/>
      <c r="PF64" s="34"/>
      <c r="PG64" s="34"/>
      <c r="PH64" s="34"/>
      <c r="PI64" s="34"/>
      <c r="PJ64" s="34"/>
      <c r="PK64" s="34"/>
      <c r="PL64" s="34"/>
      <c r="PM64" s="34"/>
      <c r="PN64" s="34"/>
      <c r="PO64" s="34"/>
      <c r="PP64" s="34"/>
      <c r="PQ64" s="34"/>
      <c r="PR64" s="34"/>
      <c r="PS64" s="34"/>
      <c r="PT64" s="34"/>
      <c r="PU64" s="34"/>
      <c r="PV64" s="34"/>
      <c r="PW64" s="34"/>
      <c r="PX64" s="34"/>
      <c r="PY64" s="34"/>
      <c r="PZ64" s="34"/>
      <c r="QA64" s="34"/>
      <c r="QB64" s="34"/>
      <c r="QC64" s="34"/>
      <c r="QD64" s="34"/>
      <c r="QE64" s="34"/>
      <c r="QF64" s="34"/>
      <c r="QG64" s="34"/>
      <c r="QH64" s="34"/>
      <c r="QI64" s="34"/>
      <c r="QJ64" s="34"/>
      <c r="QK64" s="34"/>
      <c r="QL64" s="34"/>
      <c r="QM64" s="34"/>
      <c r="QN64" s="34"/>
      <c r="QO64" s="34"/>
      <c r="QP64" s="34"/>
      <c r="QQ64" s="34"/>
      <c r="QR64" s="34"/>
      <c r="QS64" s="34"/>
      <c r="QT64" s="34"/>
      <c r="QU64" s="34"/>
      <c r="QV64" s="34"/>
      <c r="QW64" s="34"/>
      <c r="QX64" s="34"/>
      <c r="QY64" s="34"/>
      <c r="QZ64" s="34"/>
      <c r="RA64" s="34"/>
      <c r="RB64" s="34"/>
      <c r="RC64" s="34"/>
      <c r="RD64" s="34"/>
      <c r="RE64" s="34"/>
      <c r="RF64" s="34"/>
      <c r="RG64" s="34"/>
      <c r="RH64" s="34"/>
      <c r="RI64" s="34"/>
      <c r="RJ64" s="34"/>
      <c r="RK64" s="34"/>
      <c r="RL64" s="34"/>
      <c r="RM64" s="34"/>
      <c r="RN64" s="34"/>
      <c r="RO64" s="34"/>
      <c r="RP64" s="34"/>
      <c r="RQ64" s="34"/>
      <c r="RR64" s="34"/>
      <c r="RS64" s="34"/>
      <c r="RT64" s="34"/>
      <c r="RU64" s="34"/>
      <c r="RV64" s="34"/>
      <c r="RW64" s="34"/>
      <c r="RX64" s="34"/>
      <c r="RY64" s="34"/>
      <c r="RZ64" s="34"/>
      <c r="SA64" s="34"/>
      <c r="SB64" s="34"/>
      <c r="SC64" s="34"/>
      <c r="SD64" s="34"/>
      <c r="SE64" s="34"/>
      <c r="SF64" s="34"/>
      <c r="SG64" s="34"/>
      <c r="SH64" s="34"/>
      <c r="SI64" s="34"/>
      <c r="SJ64" s="34"/>
      <c r="SK64" s="34"/>
      <c r="SL64" s="34"/>
      <c r="SM64" s="34"/>
      <c r="SN64" s="34"/>
      <c r="SO64" s="34"/>
      <c r="SP64" s="34"/>
      <c r="SQ64" s="34"/>
      <c r="SR64" s="34"/>
      <c r="SS64" s="34"/>
      <c r="ST64" s="34"/>
      <c r="SU64" s="34"/>
      <c r="SV64" s="34"/>
      <c r="SW64" s="34"/>
      <c r="SX64" s="34"/>
      <c r="SY64" s="34"/>
      <c r="SZ64" s="34"/>
      <c r="TA64" s="34"/>
      <c r="TB64" s="34"/>
      <c r="TC64" s="34"/>
      <c r="TD64" s="34"/>
      <c r="TE64" s="34"/>
      <c r="TF64" s="34"/>
      <c r="TG64" s="34"/>
      <c r="TH64" s="34"/>
      <c r="TI64" s="34"/>
      <c r="TJ64" s="34"/>
      <c r="TK64" s="34"/>
      <c r="TL64" s="34"/>
      <c r="TM64" s="34"/>
      <c r="TN64" s="34"/>
      <c r="TO64" s="34"/>
      <c r="TP64" s="34"/>
      <c r="TQ64" s="34"/>
      <c r="TR64" s="34"/>
      <c r="TS64" s="34"/>
      <c r="TT64" s="34"/>
      <c r="TU64" s="34"/>
      <c r="TV64" s="34"/>
      <c r="TW64" s="34"/>
      <c r="TX64" s="34"/>
      <c r="TY64" s="34"/>
      <c r="TZ64" s="34"/>
      <c r="UA64" s="34"/>
      <c r="UB64" s="34"/>
      <c r="UC64" s="34"/>
      <c r="UD64" s="34"/>
      <c r="UE64" s="34"/>
      <c r="UF64" s="34"/>
      <c r="UG64" s="34"/>
      <c r="UH64" s="34"/>
      <c r="UI64" s="34"/>
      <c r="UJ64" s="34"/>
      <c r="UK64" s="34"/>
      <c r="UL64" s="34"/>
      <c r="UM64" s="34"/>
      <c r="UN64" s="34"/>
      <c r="UO64" s="34"/>
      <c r="UP64" s="34"/>
      <c r="UQ64" s="34"/>
      <c r="UR64" s="34"/>
      <c r="US64" s="34"/>
      <c r="UT64" s="34"/>
      <c r="UU64" s="34"/>
      <c r="UV64" s="34"/>
      <c r="UW64" s="34"/>
      <c r="UX64" s="34"/>
      <c r="UY64" s="34"/>
      <c r="UZ64" s="34"/>
      <c r="VA64" s="34"/>
      <c r="VB64" s="34"/>
      <c r="VC64" s="34"/>
      <c r="VD64" s="34"/>
      <c r="VE64" s="34"/>
      <c r="VF64" s="34"/>
      <c r="VG64" s="34"/>
      <c r="VH64" s="34"/>
      <c r="VI64" s="34"/>
      <c r="VJ64" s="34"/>
      <c r="VK64" s="34"/>
      <c r="VL64" s="34"/>
      <c r="VM64" s="34"/>
      <c r="VN64" s="34"/>
      <c r="VO64" s="34"/>
      <c r="VP64" s="34"/>
      <c r="VQ64" s="34"/>
      <c r="VR64" s="34"/>
      <c r="VS64" s="34"/>
      <c r="VT64" s="34"/>
      <c r="VU64" s="34"/>
      <c r="VV64" s="34"/>
      <c r="VW64" s="34"/>
      <c r="VX64" s="34"/>
      <c r="VY64" s="34"/>
      <c r="VZ64" s="34"/>
      <c r="WA64" s="34"/>
      <c r="WB64" s="34"/>
      <c r="WC64" s="34"/>
      <c r="WD64" s="34"/>
      <c r="WE64" s="34"/>
      <c r="WF64" s="34"/>
      <c r="WG64" s="34"/>
      <c r="WH64" s="34"/>
      <c r="WI64" s="34"/>
      <c r="WJ64" s="34"/>
      <c r="WK64" s="34"/>
      <c r="WL64" s="34"/>
      <c r="WM64" s="34"/>
      <c r="WN64" s="34"/>
      <c r="WO64" s="34"/>
      <c r="WP64" s="34"/>
      <c r="WQ64" s="34"/>
      <c r="WR64" s="34"/>
      <c r="WS64" s="34"/>
      <c r="WT64" s="34"/>
      <c r="WU64" s="34"/>
      <c r="WV64" s="34"/>
      <c r="WW64" s="34"/>
      <c r="WX64" s="34"/>
      <c r="WY64" s="34"/>
      <c r="WZ64" s="34"/>
      <c r="XA64" s="34"/>
      <c r="XB64" s="34"/>
      <c r="XC64" s="34"/>
      <c r="XD64" s="34"/>
      <c r="XE64" s="34"/>
      <c r="XF64" s="34"/>
      <c r="XG64" s="34"/>
      <c r="XH64" s="34"/>
      <c r="XI64" s="34"/>
      <c r="XJ64" s="34"/>
      <c r="XK64" s="34"/>
      <c r="XL64" s="34"/>
      <c r="XM64" s="34"/>
      <c r="XN64" s="34"/>
      <c r="XO64" s="34"/>
      <c r="XP64" s="34"/>
      <c r="XQ64" s="34"/>
      <c r="XR64" s="34"/>
      <c r="XS64" s="34"/>
      <c r="XT64" s="34"/>
      <c r="XU64" s="34"/>
      <c r="XV64" s="34"/>
      <c r="XW64" s="34"/>
      <c r="XX64" s="34"/>
      <c r="XY64" s="34"/>
      <c r="XZ64" s="34"/>
      <c r="YA64" s="34"/>
      <c r="YB64" s="34"/>
      <c r="YC64" s="34"/>
      <c r="YD64" s="34"/>
      <c r="YE64" s="34"/>
      <c r="YF64" s="34"/>
      <c r="YG64" s="34"/>
      <c r="YH64" s="34"/>
      <c r="YI64" s="34"/>
      <c r="YJ64" s="34"/>
      <c r="YK64" s="34"/>
      <c r="YL64" s="34"/>
      <c r="YM64" s="34"/>
      <c r="YN64" s="34"/>
      <c r="YO64" s="34"/>
      <c r="YP64" s="34"/>
      <c r="YQ64" s="34"/>
      <c r="YR64" s="34"/>
      <c r="YS64" s="34"/>
      <c r="YT64" s="34"/>
      <c r="YU64" s="34"/>
      <c r="YV64" s="34"/>
      <c r="YW64" s="34"/>
      <c r="YX64" s="34"/>
      <c r="YY64" s="34"/>
      <c r="YZ64" s="34"/>
      <c r="ZA64" s="34"/>
      <c r="ZB64" s="34"/>
      <c r="ZC64" s="34"/>
      <c r="ZD64" s="34"/>
      <c r="ZE64" s="34"/>
      <c r="ZF64" s="34"/>
      <c r="ZG64" s="34"/>
      <c r="ZH64" s="34"/>
      <c r="ZI64" s="34"/>
      <c r="ZJ64" s="34"/>
      <c r="ZK64" s="34"/>
      <c r="ZL64" s="34"/>
      <c r="ZM64" s="34"/>
      <c r="ZN64" s="34"/>
      <c r="ZO64" s="34"/>
      <c r="ZP64" s="34"/>
      <c r="ZQ64" s="34"/>
      <c r="ZR64" s="34"/>
      <c r="ZS64" s="34"/>
      <c r="ZT64" s="34"/>
      <c r="ZU64" s="34"/>
      <c r="ZV64" s="34"/>
      <c r="ZW64" s="34"/>
      <c r="ZX64" s="34"/>
      <c r="ZY64" s="34"/>
      <c r="ZZ64" s="34"/>
      <c r="AAA64" s="34"/>
      <c r="AAB64" s="34"/>
      <c r="AAC64" s="34"/>
      <c r="AAD64" s="34"/>
      <c r="AAE64" s="34"/>
      <c r="AAF64" s="34"/>
      <c r="AAG64" s="34"/>
      <c r="AAH64" s="34"/>
      <c r="AAI64" s="34"/>
      <c r="AAJ64" s="34"/>
      <c r="AAK64" s="34"/>
      <c r="AAL64" s="34"/>
      <c r="AAM64" s="34"/>
      <c r="AAN64" s="34"/>
      <c r="AAO64" s="34"/>
      <c r="AAP64" s="34"/>
      <c r="AAQ64" s="34"/>
      <c r="AAR64" s="34"/>
      <c r="AAS64" s="34"/>
      <c r="AAT64" s="34"/>
      <c r="AAU64" s="34"/>
      <c r="AAV64" s="34"/>
      <c r="AAW64" s="34"/>
      <c r="AAX64" s="34"/>
      <c r="AAY64" s="34"/>
      <c r="AAZ64" s="34"/>
      <c r="ABA64" s="34"/>
      <c r="ABB64" s="34"/>
      <c r="ABC64" s="34"/>
      <c r="ABD64" s="34"/>
      <c r="ABE64" s="34"/>
      <c r="ABF64" s="34"/>
      <c r="ABG64" s="34"/>
      <c r="ABH64" s="34"/>
      <c r="ABI64" s="34"/>
      <c r="ABJ64" s="34"/>
      <c r="ABK64" s="34"/>
      <c r="ABL64" s="34"/>
      <c r="ABM64" s="34"/>
      <c r="ABN64" s="34"/>
      <c r="ABO64" s="34"/>
      <c r="ABP64" s="34"/>
      <c r="ABQ64" s="34"/>
      <c r="ABR64" s="34"/>
      <c r="ABS64" s="34"/>
      <c r="ABT64" s="34"/>
      <c r="ABU64" s="34"/>
      <c r="ABV64" s="34"/>
      <c r="ABW64" s="34"/>
      <c r="ABX64" s="34"/>
      <c r="ABY64" s="34"/>
      <c r="ABZ64" s="34"/>
      <c r="ACA64" s="34"/>
      <c r="ACB64" s="34"/>
      <c r="ACC64" s="34"/>
      <c r="ACD64" s="34"/>
      <c r="ACE64" s="34"/>
      <c r="ACF64" s="34"/>
      <c r="ACG64" s="34"/>
      <c r="ACH64" s="34"/>
      <c r="ACI64" s="34"/>
      <c r="ACJ64" s="34"/>
      <c r="ACK64" s="34"/>
      <c r="ACL64" s="34"/>
      <c r="ACM64" s="34"/>
      <c r="ACN64" s="34"/>
      <c r="ACO64" s="34"/>
      <c r="ACP64" s="34"/>
      <c r="ACQ64" s="34"/>
      <c r="ACR64" s="34"/>
      <c r="ACS64" s="34"/>
      <c r="ACT64" s="34"/>
      <c r="ACU64" s="34"/>
      <c r="ACV64" s="34"/>
      <c r="ACW64" s="34"/>
      <c r="ACX64" s="34"/>
      <c r="ACY64" s="34"/>
      <c r="ACZ64" s="34"/>
      <c r="ADA64" s="34"/>
      <c r="ADB64" s="34"/>
      <c r="ADC64" s="34"/>
      <c r="ADD64" s="34"/>
      <c r="ADE64" s="34"/>
      <c r="ADF64" s="34"/>
      <c r="ADG64" s="34"/>
      <c r="ADH64" s="34"/>
      <c r="ADI64" s="34"/>
      <c r="ADJ64" s="34"/>
      <c r="ADK64" s="34"/>
      <c r="ADL64" s="34"/>
      <c r="ADM64" s="34"/>
      <c r="ADN64" s="34"/>
      <c r="ADO64" s="34"/>
      <c r="ADP64" s="34"/>
      <c r="ADQ64" s="34"/>
      <c r="ADR64" s="34"/>
      <c r="ADS64" s="34"/>
      <c r="ADT64" s="34"/>
      <c r="ADU64" s="34"/>
      <c r="ADV64" s="34"/>
      <c r="ADW64" s="34"/>
      <c r="ADX64" s="34"/>
      <c r="ADY64" s="34"/>
      <c r="ADZ64" s="34"/>
      <c r="AEA64" s="34"/>
      <c r="AEB64" s="34"/>
      <c r="AEC64" s="34"/>
      <c r="AED64" s="34"/>
      <c r="AEE64" s="34"/>
      <c r="AEF64" s="34"/>
      <c r="AEG64" s="34"/>
      <c r="AEH64" s="34"/>
      <c r="AEI64" s="34"/>
      <c r="AEJ64" s="34"/>
      <c r="AEK64" s="34"/>
      <c r="AEL64" s="34"/>
      <c r="AEM64" s="34"/>
      <c r="AEN64" s="34"/>
      <c r="AEO64" s="34"/>
      <c r="AEP64" s="34"/>
      <c r="AEQ64" s="34"/>
      <c r="AER64" s="34"/>
      <c r="AES64" s="34"/>
      <c r="AET64" s="34"/>
      <c r="AEU64" s="34"/>
      <c r="AEV64" s="34"/>
      <c r="AEW64" s="34"/>
      <c r="AEX64" s="34"/>
      <c r="AEY64" s="34"/>
      <c r="AEZ64" s="34"/>
      <c r="AFA64" s="34"/>
      <c r="AFB64" s="34"/>
      <c r="AFC64" s="34"/>
      <c r="AFD64" s="34"/>
      <c r="AFE64" s="34"/>
      <c r="AFF64" s="34"/>
      <c r="AFG64" s="34"/>
      <c r="AFH64" s="34"/>
      <c r="AFI64" s="34"/>
      <c r="AFJ64" s="34"/>
      <c r="AFK64" s="34"/>
      <c r="AFL64" s="34"/>
      <c r="AFM64" s="34"/>
      <c r="AFN64" s="34"/>
      <c r="AFO64" s="34"/>
      <c r="AFP64" s="34"/>
      <c r="AFQ64" s="34"/>
      <c r="AFR64" s="34"/>
      <c r="AFS64" s="34"/>
      <c r="AFT64" s="34"/>
      <c r="AFU64" s="34"/>
      <c r="AFV64" s="34"/>
      <c r="AFW64" s="34"/>
      <c r="AFX64" s="34"/>
      <c r="AFY64" s="34"/>
      <c r="AFZ64" s="34"/>
      <c r="AGA64" s="34"/>
      <c r="AGB64" s="34"/>
      <c r="AGC64" s="34"/>
      <c r="AGD64" s="34"/>
      <c r="AGE64" s="34"/>
      <c r="AGF64" s="34"/>
      <c r="AGG64" s="34"/>
      <c r="AGH64" s="34"/>
      <c r="AGI64" s="34"/>
      <c r="AGJ64" s="34"/>
      <c r="AGK64" s="34"/>
      <c r="AGL64" s="34"/>
      <c r="AGM64" s="34"/>
      <c r="AGN64" s="34"/>
      <c r="AGO64" s="34"/>
      <c r="AGP64" s="34"/>
      <c r="AGQ64" s="34"/>
      <c r="AGR64" s="34"/>
      <c r="AGS64" s="34"/>
      <c r="AGT64" s="34"/>
      <c r="AGU64" s="34"/>
      <c r="AGV64" s="34"/>
      <c r="AGW64" s="34"/>
      <c r="AGX64" s="34"/>
      <c r="AGY64" s="34"/>
      <c r="AGZ64" s="34"/>
      <c r="AHA64" s="34"/>
      <c r="AHB64" s="34"/>
      <c r="AHC64" s="34"/>
      <c r="AHD64" s="34"/>
      <c r="AHE64" s="34"/>
      <c r="AHF64" s="34"/>
      <c r="AHG64" s="34"/>
      <c r="AHH64" s="34"/>
      <c r="AHI64" s="34"/>
      <c r="AHJ64" s="34"/>
      <c r="AHK64" s="34"/>
      <c r="AHL64" s="34"/>
      <c r="AHM64" s="34"/>
      <c r="AHN64" s="34"/>
      <c r="AHO64" s="34"/>
      <c r="AHP64" s="34"/>
      <c r="AHQ64" s="34"/>
      <c r="AHR64" s="34"/>
      <c r="AHS64" s="34"/>
      <c r="AHT64" s="34"/>
      <c r="AHU64" s="34"/>
      <c r="AHV64" s="34"/>
      <c r="AHW64" s="34"/>
      <c r="AHX64" s="34"/>
      <c r="AHY64" s="34"/>
      <c r="AHZ64" s="34"/>
      <c r="AIA64" s="34"/>
      <c r="AIB64" s="34"/>
      <c r="AIC64" s="34"/>
      <c r="AID64" s="34"/>
      <c r="AIE64" s="34"/>
      <c r="AIF64" s="34"/>
      <c r="AIG64" s="34"/>
      <c r="AIH64" s="34"/>
      <c r="AII64" s="34"/>
      <c r="AIJ64" s="34"/>
      <c r="AIK64" s="34"/>
      <c r="AIL64" s="34"/>
      <c r="AIM64" s="34"/>
      <c r="AIN64" s="34"/>
      <c r="AIO64" s="34"/>
      <c r="AIP64" s="34"/>
      <c r="AIQ64" s="34"/>
      <c r="AIR64" s="34"/>
      <c r="AIS64" s="34"/>
      <c r="AIT64" s="34"/>
      <c r="AIU64" s="34"/>
      <c r="AIV64" s="34"/>
      <c r="AIW64" s="34"/>
      <c r="AIX64" s="34"/>
      <c r="AIY64" s="34"/>
      <c r="AIZ64" s="34"/>
      <c r="AJA64" s="34"/>
      <c r="AJB64" s="34"/>
      <c r="AJC64" s="34"/>
      <c r="AJD64" s="34"/>
      <c r="AJE64" s="34"/>
      <c r="AJF64" s="34"/>
      <c r="AJG64" s="34"/>
      <c r="AJH64" s="34"/>
      <c r="AJI64" s="34"/>
      <c r="AJJ64" s="34"/>
      <c r="AJK64" s="34"/>
      <c r="AJL64" s="34"/>
      <c r="AJM64" s="34"/>
      <c r="AJN64" s="34"/>
      <c r="AJO64" s="34"/>
      <c r="AJP64" s="34"/>
      <c r="AJQ64" s="34"/>
      <c r="AJR64" s="34"/>
      <c r="AJS64" s="34"/>
      <c r="AJT64" s="34"/>
      <c r="AJU64" s="34"/>
      <c r="AJV64" s="34"/>
      <c r="AJW64" s="34"/>
      <c r="AJX64" s="34"/>
      <c r="AJY64" s="34"/>
      <c r="AJZ64" s="34"/>
      <c r="AKA64" s="34"/>
      <c r="AKB64" s="34"/>
      <c r="AKC64" s="34"/>
      <c r="AKD64" s="34"/>
      <c r="AKE64" s="34"/>
      <c r="AKF64" s="34"/>
      <c r="AKG64" s="34"/>
      <c r="AKH64" s="34"/>
      <c r="AKI64" s="34"/>
      <c r="AKJ64" s="34"/>
      <c r="AKK64" s="34"/>
      <c r="AKL64" s="34"/>
      <c r="AKM64" s="34"/>
      <c r="AKN64" s="34"/>
      <c r="AKO64" s="34"/>
      <c r="AKP64" s="34"/>
      <c r="AKQ64" s="34"/>
      <c r="AKR64" s="34"/>
      <c r="AKS64" s="34"/>
      <c r="AKT64" s="34"/>
      <c r="AKU64" s="34"/>
      <c r="AKV64" s="34"/>
      <c r="AKW64" s="34"/>
      <c r="AKX64" s="34"/>
      <c r="AKY64" s="34"/>
      <c r="AKZ64" s="34"/>
      <c r="ALA64" s="34"/>
      <c r="ALB64" s="34"/>
      <c r="ALC64" s="34"/>
      <c r="ALD64" s="34"/>
      <c r="ALE64" s="34"/>
      <c r="ALF64" s="34"/>
      <c r="ALG64" s="34"/>
      <c r="ALH64" s="34"/>
      <c r="ALI64" s="34"/>
      <c r="ALJ64" s="34"/>
      <c r="ALK64" s="34"/>
      <c r="ALL64" s="34"/>
      <c r="ALM64" s="34"/>
      <c r="ALN64" s="34"/>
      <c r="ALO64" s="34"/>
      <c r="ALP64" s="34"/>
      <c r="ALQ64" s="34"/>
      <c r="ALR64" s="34"/>
    </row>
    <row r="65" spans="1:1006" s="35" customFormat="1">
      <c r="A65" s="27">
        <f t="shared" si="0"/>
        <v>2015</v>
      </c>
      <c r="B65" s="39">
        <v>6.143891</v>
      </c>
      <c r="C65" s="39">
        <v>4.4562959999999999E-2</v>
      </c>
      <c r="D65" s="39">
        <v>1.3560000000000001</v>
      </c>
      <c r="E65" s="39">
        <v>6.4000000000000001E-2</v>
      </c>
      <c r="F65" s="39">
        <v>9.9362999999999992</v>
      </c>
      <c r="G65" s="39">
        <v>4.2127999999999999E-2</v>
      </c>
      <c r="H65" s="39">
        <v>506.86399999999998</v>
      </c>
      <c r="I65" s="39">
        <v>4.0126000000000002E-2</v>
      </c>
      <c r="J65" s="39"/>
      <c r="K65" s="39"/>
      <c r="L65" s="39"/>
      <c r="M65" s="39"/>
      <c r="N65" s="39">
        <v>1.1000000000000001</v>
      </c>
      <c r="O65" s="39">
        <v>0.16</v>
      </c>
      <c r="P65" s="39">
        <v>1.01</v>
      </c>
      <c r="Q65" s="39">
        <v>0.1268</v>
      </c>
      <c r="R65" s="39"/>
      <c r="S65" s="39"/>
      <c r="T65" s="39">
        <v>0.20969281323614999</v>
      </c>
      <c r="U65" s="39">
        <v>6.6328845967865521E-2</v>
      </c>
      <c r="Z65" s="34"/>
      <c r="AA65" s="12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  <c r="HI65" s="34"/>
      <c r="HJ65" s="34"/>
      <c r="HK65" s="34"/>
      <c r="HL65" s="34"/>
      <c r="HM65" s="34"/>
      <c r="HN65" s="34"/>
      <c r="HO65" s="34"/>
      <c r="HP65" s="34"/>
      <c r="HQ65" s="34"/>
      <c r="HR65" s="34"/>
      <c r="HS65" s="34"/>
      <c r="HT65" s="34"/>
      <c r="HU65" s="34"/>
      <c r="HV65" s="34"/>
      <c r="HW65" s="34"/>
      <c r="HX65" s="34"/>
      <c r="HY65" s="34"/>
      <c r="HZ65" s="34"/>
      <c r="IA65" s="34"/>
      <c r="IB65" s="34"/>
      <c r="IC65" s="34"/>
      <c r="ID65" s="34"/>
      <c r="IE65" s="34"/>
      <c r="IF65" s="34"/>
      <c r="IG65" s="34"/>
      <c r="IH65" s="34"/>
      <c r="II65" s="34"/>
      <c r="IJ65" s="34"/>
      <c r="IK65" s="34"/>
      <c r="IL65" s="34"/>
      <c r="IM65" s="34"/>
      <c r="IN65" s="34"/>
      <c r="IO65" s="34"/>
      <c r="IP65" s="34"/>
      <c r="IQ65" s="34"/>
      <c r="IR65" s="34"/>
      <c r="IS65" s="34"/>
      <c r="IT65" s="34"/>
      <c r="IU65" s="34"/>
      <c r="IV65" s="34"/>
      <c r="IW65" s="34"/>
      <c r="IX65" s="34"/>
      <c r="IY65" s="34"/>
      <c r="IZ65" s="34"/>
      <c r="JA65" s="34"/>
      <c r="JB65" s="34"/>
      <c r="JC65" s="34"/>
      <c r="JD65" s="34"/>
      <c r="JE65" s="34"/>
      <c r="JF65" s="34"/>
      <c r="JG65" s="34"/>
      <c r="JH65" s="34"/>
      <c r="JI65" s="34"/>
      <c r="JJ65" s="34"/>
      <c r="JK65" s="34"/>
      <c r="JL65" s="34"/>
      <c r="JM65" s="34"/>
      <c r="JN65" s="34"/>
      <c r="JO65" s="34"/>
      <c r="JP65" s="34"/>
      <c r="JQ65" s="34"/>
      <c r="JR65" s="34"/>
      <c r="JS65" s="34"/>
      <c r="JT65" s="34"/>
      <c r="JU65" s="34"/>
      <c r="JV65" s="34"/>
      <c r="JW65" s="34"/>
      <c r="JX65" s="34"/>
      <c r="JY65" s="34"/>
      <c r="JZ65" s="34"/>
      <c r="KA65" s="34"/>
      <c r="KB65" s="34"/>
      <c r="KC65" s="34"/>
      <c r="KD65" s="34"/>
      <c r="KE65" s="34"/>
      <c r="KF65" s="34"/>
      <c r="KG65" s="34"/>
      <c r="KH65" s="34"/>
      <c r="KI65" s="34"/>
      <c r="KJ65" s="34"/>
      <c r="KK65" s="34"/>
      <c r="KL65" s="34"/>
      <c r="KM65" s="34"/>
      <c r="KN65" s="34"/>
      <c r="KO65" s="34"/>
      <c r="KP65" s="34"/>
      <c r="KQ65" s="34"/>
      <c r="KR65" s="34"/>
      <c r="KS65" s="34"/>
      <c r="KT65" s="34"/>
      <c r="KU65" s="34"/>
      <c r="KV65" s="34"/>
      <c r="KW65" s="34"/>
      <c r="KX65" s="34"/>
      <c r="KY65" s="34"/>
      <c r="KZ65" s="34"/>
      <c r="LA65" s="34"/>
      <c r="LB65" s="34"/>
      <c r="LC65" s="34"/>
      <c r="LD65" s="34"/>
      <c r="LE65" s="34"/>
      <c r="LF65" s="34"/>
      <c r="LG65" s="34"/>
      <c r="LH65" s="34"/>
      <c r="LI65" s="34"/>
      <c r="LJ65" s="34"/>
      <c r="LK65" s="34"/>
      <c r="LL65" s="34"/>
      <c r="LM65" s="34"/>
      <c r="LN65" s="34"/>
      <c r="LO65" s="34"/>
      <c r="LP65" s="34"/>
      <c r="LQ65" s="34"/>
      <c r="LR65" s="34"/>
      <c r="LS65" s="34"/>
      <c r="LT65" s="34"/>
      <c r="LU65" s="34"/>
      <c r="LV65" s="34"/>
      <c r="LW65" s="34"/>
      <c r="LX65" s="34"/>
      <c r="LY65" s="34"/>
      <c r="LZ65" s="34"/>
      <c r="MA65" s="34"/>
      <c r="MB65" s="34"/>
      <c r="MC65" s="34"/>
      <c r="MD65" s="34"/>
      <c r="ME65" s="34"/>
      <c r="MF65" s="34"/>
      <c r="MG65" s="34"/>
      <c r="MH65" s="34"/>
      <c r="MI65" s="34"/>
      <c r="MJ65" s="34"/>
      <c r="MK65" s="34"/>
      <c r="ML65" s="34"/>
      <c r="MM65" s="34"/>
      <c r="MN65" s="34"/>
      <c r="MO65" s="34"/>
      <c r="MP65" s="34"/>
      <c r="MQ65" s="34"/>
      <c r="MR65" s="34"/>
      <c r="MS65" s="34"/>
      <c r="MT65" s="34"/>
      <c r="MU65" s="34"/>
      <c r="MV65" s="34"/>
      <c r="MW65" s="34"/>
      <c r="MX65" s="34"/>
      <c r="MY65" s="34"/>
      <c r="MZ65" s="34"/>
      <c r="NA65" s="34"/>
      <c r="NB65" s="34"/>
      <c r="NC65" s="34"/>
      <c r="ND65" s="34"/>
      <c r="NE65" s="34"/>
      <c r="NF65" s="34"/>
      <c r="NG65" s="34"/>
      <c r="NH65" s="34"/>
      <c r="NI65" s="34"/>
      <c r="NJ65" s="34"/>
      <c r="NK65" s="34"/>
      <c r="NL65" s="34"/>
      <c r="NM65" s="34"/>
      <c r="NN65" s="34"/>
      <c r="NO65" s="34"/>
      <c r="NP65" s="34"/>
      <c r="NQ65" s="34"/>
      <c r="NR65" s="34"/>
      <c r="NS65" s="34"/>
      <c r="NT65" s="34"/>
      <c r="NU65" s="34"/>
      <c r="NV65" s="34"/>
      <c r="NW65" s="34"/>
      <c r="NX65" s="34"/>
      <c r="NY65" s="34"/>
      <c r="NZ65" s="34"/>
      <c r="OA65" s="34"/>
      <c r="OB65" s="34"/>
      <c r="OC65" s="34"/>
      <c r="OD65" s="34"/>
      <c r="OE65" s="34"/>
      <c r="OF65" s="34"/>
      <c r="OG65" s="34"/>
      <c r="OH65" s="34"/>
      <c r="OI65" s="34"/>
      <c r="OJ65" s="34"/>
      <c r="OK65" s="34"/>
      <c r="OL65" s="34"/>
      <c r="OM65" s="34"/>
      <c r="ON65" s="34"/>
      <c r="OO65" s="34"/>
      <c r="OP65" s="34"/>
      <c r="OQ65" s="34"/>
      <c r="OR65" s="34"/>
      <c r="OS65" s="34"/>
      <c r="OT65" s="34"/>
      <c r="OU65" s="34"/>
      <c r="OV65" s="34"/>
      <c r="OW65" s="34"/>
      <c r="OX65" s="34"/>
      <c r="OY65" s="34"/>
      <c r="OZ65" s="34"/>
      <c r="PA65" s="34"/>
      <c r="PB65" s="34"/>
      <c r="PC65" s="34"/>
      <c r="PD65" s="34"/>
      <c r="PE65" s="34"/>
      <c r="PF65" s="34"/>
      <c r="PG65" s="34"/>
      <c r="PH65" s="34"/>
      <c r="PI65" s="34"/>
      <c r="PJ65" s="34"/>
      <c r="PK65" s="34"/>
      <c r="PL65" s="34"/>
      <c r="PM65" s="34"/>
      <c r="PN65" s="34"/>
      <c r="PO65" s="34"/>
      <c r="PP65" s="34"/>
      <c r="PQ65" s="34"/>
      <c r="PR65" s="34"/>
      <c r="PS65" s="34"/>
      <c r="PT65" s="34"/>
      <c r="PU65" s="34"/>
      <c r="PV65" s="34"/>
      <c r="PW65" s="34"/>
      <c r="PX65" s="34"/>
      <c r="PY65" s="34"/>
      <c r="PZ65" s="34"/>
      <c r="QA65" s="34"/>
      <c r="QB65" s="34"/>
      <c r="QC65" s="34"/>
      <c r="QD65" s="34"/>
      <c r="QE65" s="34"/>
      <c r="QF65" s="34"/>
      <c r="QG65" s="34"/>
      <c r="QH65" s="34"/>
      <c r="QI65" s="34"/>
      <c r="QJ65" s="34"/>
      <c r="QK65" s="34"/>
      <c r="QL65" s="34"/>
      <c r="QM65" s="34"/>
      <c r="QN65" s="34"/>
      <c r="QO65" s="34"/>
      <c r="QP65" s="34"/>
      <c r="QQ65" s="34"/>
      <c r="QR65" s="34"/>
      <c r="QS65" s="34"/>
      <c r="QT65" s="34"/>
      <c r="QU65" s="34"/>
      <c r="QV65" s="34"/>
      <c r="QW65" s="34"/>
      <c r="QX65" s="34"/>
      <c r="QY65" s="34"/>
      <c r="QZ65" s="34"/>
      <c r="RA65" s="34"/>
      <c r="RB65" s="34"/>
      <c r="RC65" s="34"/>
      <c r="RD65" s="34"/>
      <c r="RE65" s="34"/>
      <c r="RF65" s="34"/>
      <c r="RG65" s="34"/>
      <c r="RH65" s="34"/>
      <c r="RI65" s="34"/>
      <c r="RJ65" s="34"/>
      <c r="RK65" s="34"/>
      <c r="RL65" s="34"/>
      <c r="RM65" s="34"/>
      <c r="RN65" s="34"/>
      <c r="RO65" s="34"/>
      <c r="RP65" s="34"/>
      <c r="RQ65" s="34"/>
      <c r="RR65" s="34"/>
      <c r="RS65" s="34"/>
      <c r="RT65" s="34"/>
      <c r="RU65" s="34"/>
      <c r="RV65" s="34"/>
      <c r="RW65" s="34"/>
      <c r="RX65" s="34"/>
      <c r="RY65" s="34"/>
      <c r="RZ65" s="34"/>
      <c r="SA65" s="34"/>
      <c r="SB65" s="34"/>
      <c r="SC65" s="34"/>
      <c r="SD65" s="34"/>
      <c r="SE65" s="34"/>
      <c r="SF65" s="34"/>
      <c r="SG65" s="34"/>
      <c r="SH65" s="34"/>
      <c r="SI65" s="34"/>
      <c r="SJ65" s="34"/>
      <c r="SK65" s="34"/>
      <c r="SL65" s="34"/>
      <c r="SM65" s="34"/>
      <c r="SN65" s="34"/>
      <c r="SO65" s="34"/>
      <c r="SP65" s="34"/>
      <c r="SQ65" s="34"/>
      <c r="SR65" s="34"/>
      <c r="SS65" s="34"/>
      <c r="ST65" s="34"/>
      <c r="SU65" s="34"/>
      <c r="SV65" s="34"/>
      <c r="SW65" s="34"/>
      <c r="SX65" s="34"/>
      <c r="SY65" s="34"/>
      <c r="SZ65" s="34"/>
      <c r="TA65" s="34"/>
      <c r="TB65" s="34"/>
      <c r="TC65" s="34"/>
      <c r="TD65" s="34"/>
      <c r="TE65" s="34"/>
      <c r="TF65" s="34"/>
      <c r="TG65" s="34"/>
      <c r="TH65" s="34"/>
      <c r="TI65" s="34"/>
      <c r="TJ65" s="34"/>
      <c r="TK65" s="34"/>
      <c r="TL65" s="34"/>
      <c r="TM65" s="34"/>
      <c r="TN65" s="34"/>
      <c r="TO65" s="34"/>
      <c r="TP65" s="34"/>
      <c r="TQ65" s="34"/>
      <c r="TR65" s="34"/>
      <c r="TS65" s="34"/>
      <c r="TT65" s="34"/>
      <c r="TU65" s="34"/>
      <c r="TV65" s="34"/>
      <c r="TW65" s="34"/>
      <c r="TX65" s="34"/>
      <c r="TY65" s="34"/>
      <c r="TZ65" s="34"/>
      <c r="UA65" s="34"/>
      <c r="UB65" s="34"/>
      <c r="UC65" s="34"/>
      <c r="UD65" s="34"/>
      <c r="UE65" s="34"/>
      <c r="UF65" s="34"/>
      <c r="UG65" s="34"/>
      <c r="UH65" s="34"/>
      <c r="UI65" s="34"/>
      <c r="UJ65" s="34"/>
      <c r="UK65" s="34"/>
      <c r="UL65" s="34"/>
      <c r="UM65" s="34"/>
      <c r="UN65" s="34"/>
      <c r="UO65" s="34"/>
      <c r="UP65" s="34"/>
      <c r="UQ65" s="34"/>
      <c r="UR65" s="34"/>
      <c r="US65" s="34"/>
      <c r="UT65" s="34"/>
      <c r="UU65" s="34"/>
      <c r="UV65" s="34"/>
      <c r="UW65" s="34"/>
      <c r="UX65" s="34"/>
      <c r="UY65" s="34"/>
      <c r="UZ65" s="34"/>
      <c r="VA65" s="34"/>
      <c r="VB65" s="34"/>
      <c r="VC65" s="34"/>
      <c r="VD65" s="34"/>
      <c r="VE65" s="34"/>
      <c r="VF65" s="34"/>
      <c r="VG65" s="34"/>
      <c r="VH65" s="34"/>
      <c r="VI65" s="34"/>
      <c r="VJ65" s="34"/>
      <c r="VK65" s="34"/>
      <c r="VL65" s="34"/>
      <c r="VM65" s="34"/>
      <c r="VN65" s="34"/>
      <c r="VO65" s="34"/>
      <c r="VP65" s="34"/>
      <c r="VQ65" s="34"/>
      <c r="VR65" s="34"/>
      <c r="VS65" s="34"/>
      <c r="VT65" s="34"/>
      <c r="VU65" s="34"/>
      <c r="VV65" s="34"/>
      <c r="VW65" s="34"/>
      <c r="VX65" s="34"/>
      <c r="VY65" s="34"/>
      <c r="VZ65" s="34"/>
      <c r="WA65" s="34"/>
      <c r="WB65" s="34"/>
      <c r="WC65" s="34"/>
      <c r="WD65" s="34"/>
      <c r="WE65" s="34"/>
      <c r="WF65" s="34"/>
      <c r="WG65" s="34"/>
      <c r="WH65" s="34"/>
      <c r="WI65" s="34"/>
      <c r="WJ65" s="34"/>
      <c r="WK65" s="34"/>
      <c r="WL65" s="34"/>
      <c r="WM65" s="34"/>
      <c r="WN65" s="34"/>
      <c r="WO65" s="34"/>
      <c r="WP65" s="34"/>
      <c r="WQ65" s="34"/>
      <c r="WR65" s="34"/>
      <c r="WS65" s="34"/>
      <c r="WT65" s="34"/>
      <c r="WU65" s="34"/>
      <c r="WV65" s="34"/>
      <c r="WW65" s="34"/>
      <c r="WX65" s="34"/>
      <c r="WY65" s="34"/>
      <c r="WZ65" s="34"/>
      <c r="XA65" s="34"/>
      <c r="XB65" s="34"/>
      <c r="XC65" s="34"/>
      <c r="XD65" s="34"/>
      <c r="XE65" s="34"/>
      <c r="XF65" s="34"/>
      <c r="XG65" s="34"/>
      <c r="XH65" s="34"/>
      <c r="XI65" s="34"/>
      <c r="XJ65" s="34"/>
      <c r="XK65" s="34"/>
      <c r="XL65" s="34"/>
      <c r="XM65" s="34"/>
      <c r="XN65" s="34"/>
      <c r="XO65" s="34"/>
      <c r="XP65" s="34"/>
      <c r="XQ65" s="34"/>
      <c r="XR65" s="34"/>
      <c r="XS65" s="34"/>
      <c r="XT65" s="34"/>
      <c r="XU65" s="34"/>
      <c r="XV65" s="34"/>
      <c r="XW65" s="34"/>
      <c r="XX65" s="34"/>
      <c r="XY65" s="34"/>
      <c r="XZ65" s="34"/>
      <c r="YA65" s="34"/>
      <c r="YB65" s="34"/>
      <c r="YC65" s="34"/>
      <c r="YD65" s="34"/>
      <c r="YE65" s="34"/>
      <c r="YF65" s="34"/>
      <c r="YG65" s="34"/>
      <c r="YH65" s="34"/>
      <c r="YI65" s="34"/>
      <c r="YJ65" s="34"/>
      <c r="YK65" s="34"/>
      <c r="YL65" s="34"/>
      <c r="YM65" s="34"/>
      <c r="YN65" s="34"/>
      <c r="YO65" s="34"/>
      <c r="YP65" s="34"/>
      <c r="YQ65" s="34"/>
      <c r="YR65" s="34"/>
      <c r="YS65" s="34"/>
      <c r="YT65" s="34"/>
      <c r="YU65" s="34"/>
      <c r="YV65" s="34"/>
      <c r="YW65" s="34"/>
      <c r="YX65" s="34"/>
      <c r="YY65" s="34"/>
      <c r="YZ65" s="34"/>
      <c r="ZA65" s="34"/>
      <c r="ZB65" s="34"/>
      <c r="ZC65" s="34"/>
      <c r="ZD65" s="34"/>
      <c r="ZE65" s="34"/>
      <c r="ZF65" s="34"/>
      <c r="ZG65" s="34"/>
      <c r="ZH65" s="34"/>
      <c r="ZI65" s="34"/>
      <c r="ZJ65" s="34"/>
      <c r="ZK65" s="34"/>
      <c r="ZL65" s="34"/>
      <c r="ZM65" s="34"/>
      <c r="ZN65" s="34"/>
      <c r="ZO65" s="34"/>
      <c r="ZP65" s="34"/>
      <c r="ZQ65" s="34"/>
      <c r="ZR65" s="34"/>
      <c r="ZS65" s="34"/>
      <c r="ZT65" s="34"/>
      <c r="ZU65" s="34"/>
      <c r="ZV65" s="34"/>
      <c r="ZW65" s="34"/>
      <c r="ZX65" s="34"/>
      <c r="ZY65" s="34"/>
      <c r="ZZ65" s="34"/>
      <c r="AAA65" s="34"/>
      <c r="AAB65" s="34"/>
      <c r="AAC65" s="34"/>
      <c r="AAD65" s="34"/>
      <c r="AAE65" s="34"/>
      <c r="AAF65" s="34"/>
      <c r="AAG65" s="34"/>
      <c r="AAH65" s="34"/>
      <c r="AAI65" s="34"/>
      <c r="AAJ65" s="34"/>
      <c r="AAK65" s="34"/>
      <c r="AAL65" s="34"/>
      <c r="AAM65" s="34"/>
      <c r="AAN65" s="34"/>
      <c r="AAO65" s="34"/>
      <c r="AAP65" s="34"/>
      <c r="AAQ65" s="34"/>
      <c r="AAR65" s="34"/>
      <c r="AAS65" s="34"/>
      <c r="AAT65" s="34"/>
      <c r="AAU65" s="34"/>
      <c r="AAV65" s="34"/>
      <c r="AAW65" s="34"/>
      <c r="AAX65" s="34"/>
      <c r="AAY65" s="34"/>
      <c r="AAZ65" s="34"/>
      <c r="ABA65" s="34"/>
      <c r="ABB65" s="34"/>
      <c r="ABC65" s="34"/>
      <c r="ABD65" s="34"/>
      <c r="ABE65" s="34"/>
      <c r="ABF65" s="34"/>
      <c r="ABG65" s="34"/>
      <c r="ABH65" s="34"/>
      <c r="ABI65" s="34"/>
      <c r="ABJ65" s="34"/>
      <c r="ABK65" s="34"/>
      <c r="ABL65" s="34"/>
      <c r="ABM65" s="34"/>
      <c r="ABN65" s="34"/>
      <c r="ABO65" s="34"/>
      <c r="ABP65" s="34"/>
      <c r="ABQ65" s="34"/>
      <c r="ABR65" s="34"/>
      <c r="ABS65" s="34"/>
      <c r="ABT65" s="34"/>
      <c r="ABU65" s="34"/>
      <c r="ABV65" s="34"/>
      <c r="ABW65" s="34"/>
      <c r="ABX65" s="34"/>
      <c r="ABY65" s="34"/>
      <c r="ABZ65" s="34"/>
      <c r="ACA65" s="34"/>
      <c r="ACB65" s="34"/>
      <c r="ACC65" s="34"/>
      <c r="ACD65" s="34"/>
      <c r="ACE65" s="34"/>
      <c r="ACF65" s="34"/>
      <c r="ACG65" s="34"/>
      <c r="ACH65" s="34"/>
      <c r="ACI65" s="34"/>
      <c r="ACJ65" s="34"/>
      <c r="ACK65" s="34"/>
      <c r="ACL65" s="34"/>
      <c r="ACM65" s="34"/>
      <c r="ACN65" s="34"/>
      <c r="ACO65" s="34"/>
      <c r="ACP65" s="34"/>
      <c r="ACQ65" s="34"/>
      <c r="ACR65" s="34"/>
      <c r="ACS65" s="34"/>
      <c r="ACT65" s="34"/>
      <c r="ACU65" s="34"/>
      <c r="ACV65" s="34"/>
      <c r="ACW65" s="34"/>
      <c r="ACX65" s="34"/>
      <c r="ACY65" s="34"/>
      <c r="ACZ65" s="34"/>
      <c r="ADA65" s="34"/>
      <c r="ADB65" s="34"/>
      <c r="ADC65" s="34"/>
      <c r="ADD65" s="34"/>
      <c r="ADE65" s="34"/>
      <c r="ADF65" s="34"/>
      <c r="ADG65" s="34"/>
      <c r="ADH65" s="34"/>
      <c r="ADI65" s="34"/>
      <c r="ADJ65" s="34"/>
      <c r="ADK65" s="34"/>
      <c r="ADL65" s="34"/>
      <c r="ADM65" s="34"/>
      <c r="ADN65" s="34"/>
      <c r="ADO65" s="34"/>
      <c r="ADP65" s="34"/>
      <c r="ADQ65" s="34"/>
      <c r="ADR65" s="34"/>
      <c r="ADS65" s="34"/>
      <c r="ADT65" s="34"/>
      <c r="ADU65" s="34"/>
      <c r="ADV65" s="34"/>
      <c r="ADW65" s="34"/>
      <c r="ADX65" s="34"/>
      <c r="ADY65" s="34"/>
      <c r="ADZ65" s="34"/>
      <c r="AEA65" s="34"/>
      <c r="AEB65" s="34"/>
      <c r="AEC65" s="34"/>
      <c r="AED65" s="34"/>
      <c r="AEE65" s="34"/>
      <c r="AEF65" s="34"/>
      <c r="AEG65" s="34"/>
      <c r="AEH65" s="34"/>
      <c r="AEI65" s="34"/>
      <c r="AEJ65" s="34"/>
      <c r="AEK65" s="34"/>
      <c r="AEL65" s="34"/>
      <c r="AEM65" s="34"/>
      <c r="AEN65" s="34"/>
      <c r="AEO65" s="34"/>
      <c r="AEP65" s="34"/>
      <c r="AEQ65" s="34"/>
      <c r="AER65" s="34"/>
      <c r="AES65" s="34"/>
      <c r="AET65" s="34"/>
      <c r="AEU65" s="34"/>
      <c r="AEV65" s="34"/>
      <c r="AEW65" s="34"/>
      <c r="AEX65" s="34"/>
      <c r="AEY65" s="34"/>
      <c r="AEZ65" s="34"/>
      <c r="AFA65" s="34"/>
      <c r="AFB65" s="34"/>
      <c r="AFC65" s="34"/>
      <c r="AFD65" s="34"/>
      <c r="AFE65" s="34"/>
      <c r="AFF65" s="34"/>
      <c r="AFG65" s="34"/>
      <c r="AFH65" s="34"/>
      <c r="AFI65" s="34"/>
      <c r="AFJ65" s="34"/>
      <c r="AFK65" s="34"/>
      <c r="AFL65" s="34"/>
      <c r="AFM65" s="34"/>
      <c r="AFN65" s="34"/>
      <c r="AFO65" s="34"/>
      <c r="AFP65" s="34"/>
      <c r="AFQ65" s="34"/>
      <c r="AFR65" s="34"/>
      <c r="AFS65" s="34"/>
      <c r="AFT65" s="34"/>
      <c r="AFU65" s="34"/>
      <c r="AFV65" s="34"/>
      <c r="AFW65" s="34"/>
      <c r="AFX65" s="34"/>
      <c r="AFY65" s="34"/>
      <c r="AFZ65" s="34"/>
      <c r="AGA65" s="34"/>
      <c r="AGB65" s="34"/>
      <c r="AGC65" s="34"/>
      <c r="AGD65" s="34"/>
      <c r="AGE65" s="34"/>
      <c r="AGF65" s="34"/>
      <c r="AGG65" s="34"/>
      <c r="AGH65" s="34"/>
      <c r="AGI65" s="34"/>
      <c r="AGJ65" s="34"/>
      <c r="AGK65" s="34"/>
      <c r="AGL65" s="34"/>
      <c r="AGM65" s="34"/>
      <c r="AGN65" s="34"/>
      <c r="AGO65" s="34"/>
      <c r="AGP65" s="34"/>
      <c r="AGQ65" s="34"/>
      <c r="AGR65" s="34"/>
      <c r="AGS65" s="34"/>
      <c r="AGT65" s="34"/>
      <c r="AGU65" s="34"/>
      <c r="AGV65" s="34"/>
      <c r="AGW65" s="34"/>
      <c r="AGX65" s="34"/>
      <c r="AGY65" s="34"/>
      <c r="AGZ65" s="34"/>
      <c r="AHA65" s="34"/>
      <c r="AHB65" s="34"/>
      <c r="AHC65" s="34"/>
      <c r="AHD65" s="34"/>
      <c r="AHE65" s="34"/>
      <c r="AHF65" s="34"/>
      <c r="AHG65" s="34"/>
      <c r="AHH65" s="34"/>
      <c r="AHI65" s="34"/>
      <c r="AHJ65" s="34"/>
      <c r="AHK65" s="34"/>
      <c r="AHL65" s="34"/>
      <c r="AHM65" s="34"/>
      <c r="AHN65" s="34"/>
      <c r="AHO65" s="34"/>
      <c r="AHP65" s="34"/>
      <c r="AHQ65" s="34"/>
      <c r="AHR65" s="34"/>
      <c r="AHS65" s="34"/>
      <c r="AHT65" s="34"/>
      <c r="AHU65" s="34"/>
      <c r="AHV65" s="34"/>
      <c r="AHW65" s="34"/>
      <c r="AHX65" s="34"/>
      <c r="AHY65" s="34"/>
      <c r="AHZ65" s="34"/>
      <c r="AIA65" s="34"/>
      <c r="AIB65" s="34"/>
      <c r="AIC65" s="34"/>
      <c r="AID65" s="34"/>
      <c r="AIE65" s="34"/>
      <c r="AIF65" s="34"/>
      <c r="AIG65" s="34"/>
      <c r="AIH65" s="34"/>
      <c r="AII65" s="34"/>
      <c r="AIJ65" s="34"/>
      <c r="AIK65" s="34"/>
      <c r="AIL65" s="34"/>
      <c r="AIM65" s="34"/>
      <c r="AIN65" s="34"/>
      <c r="AIO65" s="34"/>
      <c r="AIP65" s="34"/>
      <c r="AIQ65" s="34"/>
      <c r="AIR65" s="34"/>
      <c r="AIS65" s="34"/>
      <c r="AIT65" s="34"/>
      <c r="AIU65" s="34"/>
      <c r="AIV65" s="34"/>
      <c r="AIW65" s="34"/>
      <c r="AIX65" s="34"/>
      <c r="AIY65" s="34"/>
      <c r="AIZ65" s="34"/>
      <c r="AJA65" s="34"/>
      <c r="AJB65" s="34"/>
      <c r="AJC65" s="34"/>
      <c r="AJD65" s="34"/>
      <c r="AJE65" s="34"/>
      <c r="AJF65" s="34"/>
      <c r="AJG65" s="34"/>
      <c r="AJH65" s="34"/>
      <c r="AJI65" s="34"/>
      <c r="AJJ65" s="34"/>
      <c r="AJK65" s="34"/>
      <c r="AJL65" s="34"/>
      <c r="AJM65" s="34"/>
      <c r="AJN65" s="34"/>
      <c r="AJO65" s="34"/>
      <c r="AJP65" s="34"/>
      <c r="AJQ65" s="34"/>
      <c r="AJR65" s="34"/>
      <c r="AJS65" s="34"/>
      <c r="AJT65" s="34"/>
      <c r="AJU65" s="34"/>
      <c r="AJV65" s="34"/>
      <c r="AJW65" s="34"/>
      <c r="AJX65" s="34"/>
      <c r="AJY65" s="34"/>
      <c r="AJZ65" s="34"/>
      <c r="AKA65" s="34"/>
      <c r="AKB65" s="34"/>
      <c r="AKC65" s="34"/>
      <c r="AKD65" s="34"/>
      <c r="AKE65" s="34"/>
      <c r="AKF65" s="34"/>
      <c r="AKG65" s="34"/>
      <c r="AKH65" s="34"/>
      <c r="AKI65" s="34"/>
      <c r="AKJ65" s="34"/>
      <c r="AKK65" s="34"/>
      <c r="AKL65" s="34"/>
      <c r="AKM65" s="34"/>
      <c r="AKN65" s="34"/>
      <c r="AKO65" s="34"/>
      <c r="AKP65" s="34"/>
      <c r="AKQ65" s="34"/>
      <c r="AKR65" s="34"/>
      <c r="AKS65" s="34"/>
      <c r="AKT65" s="34"/>
      <c r="AKU65" s="34"/>
      <c r="AKV65" s="34"/>
      <c r="AKW65" s="34"/>
      <c r="AKX65" s="34"/>
      <c r="AKY65" s="34"/>
      <c r="AKZ65" s="34"/>
      <c r="ALA65" s="34"/>
      <c r="ALB65" s="34"/>
      <c r="ALC65" s="34"/>
      <c r="ALD65" s="34"/>
      <c r="ALE65" s="34"/>
      <c r="ALF65" s="34"/>
      <c r="ALG65" s="34"/>
      <c r="ALH65" s="34"/>
      <c r="ALI65" s="34"/>
      <c r="ALJ65" s="34"/>
      <c r="ALK65" s="34"/>
      <c r="ALL65" s="34"/>
      <c r="ALM65" s="34"/>
      <c r="ALN65" s="34"/>
      <c r="ALO65" s="34"/>
      <c r="ALP65" s="34"/>
      <c r="ALQ65" s="34"/>
      <c r="ALR65" s="34"/>
    </row>
    <row r="66" spans="1:1006" s="35" customFormat="1">
      <c r="A66" s="27">
        <f t="shared" si="0"/>
        <v>2016</v>
      </c>
      <c r="B66" s="39">
        <v>5.6238919999999997</v>
      </c>
      <c r="C66" s="39">
        <v>4.4260819999999999E-2</v>
      </c>
      <c r="D66" s="39">
        <v>1.244</v>
      </c>
      <c r="E66" s="39">
        <v>7.0000000000000007E-2</v>
      </c>
      <c r="F66" s="39">
        <v>10.5943</v>
      </c>
      <c r="G66" s="39">
        <v>4.5464999999999998E-2</v>
      </c>
      <c r="H66" s="39">
        <v>552.69200000000001</v>
      </c>
      <c r="I66" s="39">
        <v>4.3305999999999997E-2</v>
      </c>
      <c r="J66" s="39"/>
      <c r="K66" s="39"/>
      <c r="L66" s="39"/>
      <c r="M66" s="39"/>
      <c r="N66" s="39">
        <v>0.99</v>
      </c>
      <c r="O66" s="39">
        <v>0.16</v>
      </c>
      <c r="P66" s="39">
        <v>1.1100000000000001</v>
      </c>
      <c r="Q66" s="39">
        <v>0.12720000000000001</v>
      </c>
      <c r="R66" s="39"/>
      <c r="S66" s="39"/>
      <c r="T66" s="39">
        <v>0.211284429560672</v>
      </c>
      <c r="U66" s="39">
        <v>6.502955107648635E-2</v>
      </c>
      <c r="Z66" s="34"/>
      <c r="AA66" s="12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  <c r="HI66" s="34"/>
      <c r="HJ66" s="34"/>
      <c r="HK66" s="34"/>
      <c r="HL66" s="34"/>
      <c r="HM66" s="34"/>
      <c r="HN66" s="34"/>
      <c r="HO66" s="34"/>
      <c r="HP66" s="34"/>
      <c r="HQ66" s="34"/>
      <c r="HR66" s="34"/>
      <c r="HS66" s="34"/>
      <c r="HT66" s="34"/>
      <c r="HU66" s="34"/>
      <c r="HV66" s="34"/>
      <c r="HW66" s="34"/>
      <c r="HX66" s="34"/>
      <c r="HY66" s="34"/>
      <c r="HZ66" s="34"/>
      <c r="IA66" s="34"/>
      <c r="IB66" s="34"/>
      <c r="IC66" s="34"/>
      <c r="ID66" s="34"/>
      <c r="IE66" s="34"/>
      <c r="IF66" s="34"/>
      <c r="IG66" s="34"/>
      <c r="IH66" s="34"/>
      <c r="II66" s="34"/>
      <c r="IJ66" s="34"/>
      <c r="IK66" s="34"/>
      <c r="IL66" s="34"/>
      <c r="IM66" s="34"/>
      <c r="IN66" s="34"/>
      <c r="IO66" s="34"/>
      <c r="IP66" s="34"/>
      <c r="IQ66" s="34"/>
      <c r="IR66" s="34"/>
      <c r="IS66" s="34"/>
      <c r="IT66" s="34"/>
      <c r="IU66" s="34"/>
      <c r="IV66" s="34"/>
      <c r="IW66" s="34"/>
      <c r="IX66" s="34"/>
      <c r="IY66" s="34"/>
      <c r="IZ66" s="34"/>
      <c r="JA66" s="34"/>
      <c r="JB66" s="34"/>
      <c r="JC66" s="34"/>
      <c r="JD66" s="34"/>
      <c r="JE66" s="34"/>
      <c r="JF66" s="34"/>
      <c r="JG66" s="34"/>
      <c r="JH66" s="34"/>
      <c r="JI66" s="34"/>
      <c r="JJ66" s="34"/>
      <c r="JK66" s="34"/>
      <c r="JL66" s="34"/>
      <c r="JM66" s="34"/>
      <c r="JN66" s="34"/>
      <c r="JO66" s="34"/>
      <c r="JP66" s="34"/>
      <c r="JQ66" s="34"/>
      <c r="JR66" s="34"/>
      <c r="JS66" s="34"/>
      <c r="JT66" s="34"/>
      <c r="JU66" s="34"/>
      <c r="JV66" s="34"/>
      <c r="JW66" s="34"/>
      <c r="JX66" s="34"/>
      <c r="JY66" s="34"/>
      <c r="JZ66" s="34"/>
      <c r="KA66" s="34"/>
      <c r="KB66" s="34"/>
      <c r="KC66" s="34"/>
      <c r="KD66" s="34"/>
      <c r="KE66" s="34"/>
      <c r="KF66" s="34"/>
      <c r="KG66" s="34"/>
      <c r="KH66" s="34"/>
      <c r="KI66" s="34"/>
      <c r="KJ66" s="34"/>
      <c r="KK66" s="34"/>
      <c r="KL66" s="34"/>
      <c r="KM66" s="34"/>
      <c r="KN66" s="34"/>
      <c r="KO66" s="34"/>
      <c r="KP66" s="34"/>
      <c r="KQ66" s="34"/>
      <c r="KR66" s="34"/>
      <c r="KS66" s="34"/>
      <c r="KT66" s="34"/>
      <c r="KU66" s="34"/>
      <c r="KV66" s="34"/>
      <c r="KW66" s="34"/>
      <c r="KX66" s="34"/>
      <c r="KY66" s="34"/>
      <c r="KZ66" s="34"/>
      <c r="LA66" s="34"/>
      <c r="LB66" s="34"/>
      <c r="LC66" s="34"/>
      <c r="LD66" s="34"/>
      <c r="LE66" s="34"/>
      <c r="LF66" s="34"/>
      <c r="LG66" s="34"/>
      <c r="LH66" s="34"/>
      <c r="LI66" s="34"/>
      <c r="LJ66" s="34"/>
      <c r="LK66" s="34"/>
      <c r="LL66" s="34"/>
      <c r="LM66" s="34"/>
      <c r="LN66" s="34"/>
      <c r="LO66" s="34"/>
      <c r="LP66" s="34"/>
      <c r="LQ66" s="34"/>
      <c r="LR66" s="34"/>
      <c r="LS66" s="34"/>
      <c r="LT66" s="34"/>
      <c r="LU66" s="34"/>
      <c r="LV66" s="34"/>
      <c r="LW66" s="34"/>
      <c r="LX66" s="34"/>
      <c r="LY66" s="34"/>
      <c r="LZ66" s="34"/>
      <c r="MA66" s="34"/>
      <c r="MB66" s="34"/>
      <c r="MC66" s="34"/>
      <c r="MD66" s="34"/>
      <c r="ME66" s="34"/>
      <c r="MF66" s="34"/>
      <c r="MG66" s="34"/>
      <c r="MH66" s="34"/>
      <c r="MI66" s="34"/>
      <c r="MJ66" s="34"/>
      <c r="MK66" s="34"/>
      <c r="ML66" s="34"/>
      <c r="MM66" s="34"/>
      <c r="MN66" s="34"/>
      <c r="MO66" s="34"/>
      <c r="MP66" s="34"/>
      <c r="MQ66" s="34"/>
      <c r="MR66" s="34"/>
      <c r="MS66" s="34"/>
      <c r="MT66" s="34"/>
      <c r="MU66" s="34"/>
      <c r="MV66" s="34"/>
      <c r="MW66" s="34"/>
      <c r="MX66" s="34"/>
      <c r="MY66" s="34"/>
      <c r="MZ66" s="34"/>
      <c r="NA66" s="34"/>
      <c r="NB66" s="34"/>
      <c r="NC66" s="34"/>
      <c r="ND66" s="34"/>
      <c r="NE66" s="34"/>
      <c r="NF66" s="34"/>
      <c r="NG66" s="34"/>
      <c r="NH66" s="34"/>
      <c r="NI66" s="34"/>
      <c r="NJ66" s="34"/>
      <c r="NK66" s="34"/>
      <c r="NL66" s="34"/>
      <c r="NM66" s="34"/>
      <c r="NN66" s="34"/>
      <c r="NO66" s="34"/>
      <c r="NP66" s="34"/>
      <c r="NQ66" s="34"/>
      <c r="NR66" s="34"/>
      <c r="NS66" s="34"/>
      <c r="NT66" s="34"/>
      <c r="NU66" s="34"/>
      <c r="NV66" s="34"/>
      <c r="NW66" s="34"/>
      <c r="NX66" s="34"/>
      <c r="NY66" s="34"/>
      <c r="NZ66" s="34"/>
      <c r="OA66" s="34"/>
      <c r="OB66" s="34"/>
      <c r="OC66" s="34"/>
      <c r="OD66" s="34"/>
      <c r="OE66" s="34"/>
      <c r="OF66" s="34"/>
      <c r="OG66" s="34"/>
      <c r="OH66" s="34"/>
      <c r="OI66" s="34"/>
      <c r="OJ66" s="34"/>
      <c r="OK66" s="34"/>
      <c r="OL66" s="34"/>
      <c r="OM66" s="34"/>
      <c r="ON66" s="34"/>
      <c r="OO66" s="34"/>
      <c r="OP66" s="34"/>
      <c r="OQ66" s="34"/>
      <c r="OR66" s="34"/>
      <c r="OS66" s="34"/>
      <c r="OT66" s="34"/>
      <c r="OU66" s="34"/>
      <c r="OV66" s="34"/>
      <c r="OW66" s="34"/>
      <c r="OX66" s="34"/>
      <c r="OY66" s="34"/>
      <c r="OZ66" s="34"/>
      <c r="PA66" s="34"/>
      <c r="PB66" s="34"/>
      <c r="PC66" s="34"/>
      <c r="PD66" s="34"/>
      <c r="PE66" s="34"/>
      <c r="PF66" s="34"/>
      <c r="PG66" s="34"/>
      <c r="PH66" s="34"/>
      <c r="PI66" s="34"/>
      <c r="PJ66" s="34"/>
      <c r="PK66" s="34"/>
      <c r="PL66" s="34"/>
      <c r="PM66" s="34"/>
      <c r="PN66" s="34"/>
      <c r="PO66" s="34"/>
      <c r="PP66" s="34"/>
      <c r="PQ66" s="34"/>
      <c r="PR66" s="34"/>
      <c r="PS66" s="34"/>
      <c r="PT66" s="34"/>
      <c r="PU66" s="34"/>
      <c r="PV66" s="34"/>
      <c r="PW66" s="34"/>
      <c r="PX66" s="34"/>
      <c r="PY66" s="34"/>
      <c r="PZ66" s="34"/>
      <c r="QA66" s="34"/>
      <c r="QB66" s="34"/>
      <c r="QC66" s="34"/>
      <c r="QD66" s="34"/>
      <c r="QE66" s="34"/>
      <c r="QF66" s="34"/>
      <c r="QG66" s="34"/>
      <c r="QH66" s="34"/>
      <c r="QI66" s="34"/>
      <c r="QJ66" s="34"/>
      <c r="QK66" s="34"/>
      <c r="QL66" s="34"/>
      <c r="QM66" s="34"/>
      <c r="QN66" s="34"/>
      <c r="QO66" s="34"/>
      <c r="QP66" s="34"/>
      <c r="QQ66" s="34"/>
      <c r="QR66" s="34"/>
      <c r="QS66" s="34"/>
      <c r="QT66" s="34"/>
      <c r="QU66" s="34"/>
      <c r="QV66" s="34"/>
      <c r="QW66" s="34"/>
      <c r="QX66" s="34"/>
      <c r="QY66" s="34"/>
      <c r="QZ66" s="34"/>
      <c r="RA66" s="34"/>
      <c r="RB66" s="34"/>
      <c r="RC66" s="34"/>
      <c r="RD66" s="34"/>
      <c r="RE66" s="34"/>
      <c r="RF66" s="34"/>
      <c r="RG66" s="34"/>
      <c r="RH66" s="34"/>
      <c r="RI66" s="34"/>
      <c r="RJ66" s="34"/>
      <c r="RK66" s="34"/>
      <c r="RL66" s="34"/>
      <c r="RM66" s="34"/>
      <c r="RN66" s="34"/>
      <c r="RO66" s="34"/>
      <c r="RP66" s="34"/>
      <c r="RQ66" s="34"/>
      <c r="RR66" s="34"/>
      <c r="RS66" s="34"/>
      <c r="RT66" s="34"/>
      <c r="RU66" s="34"/>
      <c r="RV66" s="34"/>
      <c r="RW66" s="34"/>
      <c r="RX66" s="34"/>
      <c r="RY66" s="34"/>
      <c r="RZ66" s="34"/>
      <c r="SA66" s="34"/>
      <c r="SB66" s="34"/>
      <c r="SC66" s="34"/>
      <c r="SD66" s="34"/>
      <c r="SE66" s="34"/>
      <c r="SF66" s="34"/>
      <c r="SG66" s="34"/>
      <c r="SH66" s="34"/>
      <c r="SI66" s="34"/>
      <c r="SJ66" s="34"/>
      <c r="SK66" s="34"/>
      <c r="SL66" s="34"/>
      <c r="SM66" s="34"/>
      <c r="SN66" s="34"/>
      <c r="SO66" s="34"/>
      <c r="SP66" s="34"/>
      <c r="SQ66" s="34"/>
      <c r="SR66" s="34"/>
      <c r="SS66" s="34"/>
      <c r="ST66" s="34"/>
      <c r="SU66" s="34"/>
      <c r="SV66" s="34"/>
      <c r="SW66" s="34"/>
      <c r="SX66" s="34"/>
      <c r="SY66" s="34"/>
      <c r="SZ66" s="34"/>
      <c r="TA66" s="34"/>
      <c r="TB66" s="34"/>
      <c r="TC66" s="34"/>
      <c r="TD66" s="34"/>
      <c r="TE66" s="34"/>
      <c r="TF66" s="34"/>
      <c r="TG66" s="34"/>
      <c r="TH66" s="34"/>
      <c r="TI66" s="34"/>
      <c r="TJ66" s="34"/>
      <c r="TK66" s="34"/>
      <c r="TL66" s="34"/>
      <c r="TM66" s="34"/>
      <c r="TN66" s="34"/>
      <c r="TO66" s="34"/>
      <c r="TP66" s="34"/>
      <c r="TQ66" s="34"/>
      <c r="TR66" s="34"/>
      <c r="TS66" s="34"/>
      <c r="TT66" s="34"/>
      <c r="TU66" s="34"/>
      <c r="TV66" s="34"/>
      <c r="TW66" s="34"/>
      <c r="TX66" s="34"/>
      <c r="TY66" s="34"/>
      <c r="TZ66" s="34"/>
      <c r="UA66" s="34"/>
      <c r="UB66" s="34"/>
      <c r="UC66" s="34"/>
      <c r="UD66" s="34"/>
      <c r="UE66" s="34"/>
      <c r="UF66" s="34"/>
      <c r="UG66" s="34"/>
      <c r="UH66" s="34"/>
      <c r="UI66" s="34"/>
      <c r="UJ66" s="34"/>
      <c r="UK66" s="34"/>
      <c r="UL66" s="34"/>
      <c r="UM66" s="34"/>
      <c r="UN66" s="34"/>
      <c r="UO66" s="34"/>
      <c r="UP66" s="34"/>
      <c r="UQ66" s="34"/>
      <c r="UR66" s="34"/>
      <c r="US66" s="34"/>
      <c r="UT66" s="34"/>
      <c r="UU66" s="34"/>
      <c r="UV66" s="34"/>
      <c r="UW66" s="34"/>
      <c r="UX66" s="34"/>
      <c r="UY66" s="34"/>
      <c r="UZ66" s="34"/>
      <c r="VA66" s="34"/>
      <c r="VB66" s="34"/>
      <c r="VC66" s="34"/>
      <c r="VD66" s="34"/>
      <c r="VE66" s="34"/>
      <c r="VF66" s="34"/>
      <c r="VG66" s="34"/>
      <c r="VH66" s="34"/>
      <c r="VI66" s="34"/>
      <c r="VJ66" s="34"/>
      <c r="VK66" s="34"/>
      <c r="VL66" s="34"/>
      <c r="VM66" s="34"/>
      <c r="VN66" s="34"/>
      <c r="VO66" s="34"/>
      <c r="VP66" s="34"/>
      <c r="VQ66" s="34"/>
      <c r="VR66" s="34"/>
      <c r="VS66" s="34"/>
      <c r="VT66" s="34"/>
      <c r="VU66" s="34"/>
      <c r="VV66" s="34"/>
      <c r="VW66" s="34"/>
      <c r="VX66" s="34"/>
      <c r="VY66" s="34"/>
      <c r="VZ66" s="34"/>
      <c r="WA66" s="34"/>
      <c r="WB66" s="34"/>
      <c r="WC66" s="34"/>
      <c r="WD66" s="34"/>
      <c r="WE66" s="34"/>
      <c r="WF66" s="34"/>
      <c r="WG66" s="34"/>
      <c r="WH66" s="34"/>
      <c r="WI66" s="34"/>
      <c r="WJ66" s="34"/>
      <c r="WK66" s="34"/>
      <c r="WL66" s="34"/>
      <c r="WM66" s="34"/>
      <c r="WN66" s="34"/>
      <c r="WO66" s="34"/>
      <c r="WP66" s="34"/>
      <c r="WQ66" s="34"/>
      <c r="WR66" s="34"/>
      <c r="WS66" s="34"/>
      <c r="WT66" s="34"/>
      <c r="WU66" s="34"/>
      <c r="WV66" s="34"/>
      <c r="WW66" s="34"/>
      <c r="WX66" s="34"/>
      <c r="WY66" s="34"/>
      <c r="WZ66" s="34"/>
      <c r="XA66" s="34"/>
      <c r="XB66" s="34"/>
      <c r="XC66" s="34"/>
      <c r="XD66" s="34"/>
      <c r="XE66" s="34"/>
      <c r="XF66" s="34"/>
      <c r="XG66" s="34"/>
      <c r="XH66" s="34"/>
      <c r="XI66" s="34"/>
      <c r="XJ66" s="34"/>
      <c r="XK66" s="34"/>
      <c r="XL66" s="34"/>
      <c r="XM66" s="34"/>
      <c r="XN66" s="34"/>
      <c r="XO66" s="34"/>
      <c r="XP66" s="34"/>
      <c r="XQ66" s="34"/>
      <c r="XR66" s="34"/>
      <c r="XS66" s="34"/>
      <c r="XT66" s="34"/>
      <c r="XU66" s="34"/>
      <c r="XV66" s="34"/>
      <c r="XW66" s="34"/>
      <c r="XX66" s="34"/>
      <c r="XY66" s="34"/>
      <c r="XZ66" s="34"/>
      <c r="YA66" s="34"/>
      <c r="YB66" s="34"/>
      <c r="YC66" s="34"/>
      <c r="YD66" s="34"/>
      <c r="YE66" s="34"/>
      <c r="YF66" s="34"/>
      <c r="YG66" s="34"/>
      <c r="YH66" s="34"/>
      <c r="YI66" s="34"/>
      <c r="YJ66" s="34"/>
      <c r="YK66" s="34"/>
      <c r="YL66" s="34"/>
      <c r="YM66" s="34"/>
      <c r="YN66" s="34"/>
      <c r="YO66" s="34"/>
      <c r="YP66" s="34"/>
      <c r="YQ66" s="34"/>
      <c r="YR66" s="34"/>
      <c r="YS66" s="34"/>
      <c r="YT66" s="34"/>
      <c r="YU66" s="34"/>
      <c r="YV66" s="34"/>
      <c r="YW66" s="34"/>
      <c r="YX66" s="34"/>
      <c r="YY66" s="34"/>
      <c r="YZ66" s="34"/>
      <c r="ZA66" s="34"/>
      <c r="ZB66" s="34"/>
      <c r="ZC66" s="34"/>
      <c r="ZD66" s="34"/>
      <c r="ZE66" s="34"/>
      <c r="ZF66" s="34"/>
      <c r="ZG66" s="34"/>
      <c r="ZH66" s="34"/>
      <c r="ZI66" s="34"/>
      <c r="ZJ66" s="34"/>
      <c r="ZK66" s="34"/>
      <c r="ZL66" s="34"/>
      <c r="ZM66" s="34"/>
      <c r="ZN66" s="34"/>
      <c r="ZO66" s="34"/>
      <c r="ZP66" s="34"/>
      <c r="ZQ66" s="34"/>
      <c r="ZR66" s="34"/>
      <c r="ZS66" s="34"/>
      <c r="ZT66" s="34"/>
      <c r="ZU66" s="34"/>
      <c r="ZV66" s="34"/>
      <c r="ZW66" s="34"/>
      <c r="ZX66" s="34"/>
      <c r="ZY66" s="34"/>
      <c r="ZZ66" s="34"/>
      <c r="AAA66" s="34"/>
      <c r="AAB66" s="34"/>
      <c r="AAC66" s="34"/>
      <c r="AAD66" s="34"/>
      <c r="AAE66" s="34"/>
      <c r="AAF66" s="34"/>
      <c r="AAG66" s="34"/>
      <c r="AAH66" s="34"/>
      <c r="AAI66" s="34"/>
      <c r="AAJ66" s="34"/>
      <c r="AAK66" s="34"/>
      <c r="AAL66" s="34"/>
      <c r="AAM66" s="34"/>
      <c r="AAN66" s="34"/>
      <c r="AAO66" s="34"/>
      <c r="AAP66" s="34"/>
      <c r="AAQ66" s="34"/>
      <c r="AAR66" s="34"/>
      <c r="AAS66" s="34"/>
      <c r="AAT66" s="34"/>
      <c r="AAU66" s="34"/>
      <c r="AAV66" s="34"/>
      <c r="AAW66" s="34"/>
      <c r="AAX66" s="34"/>
      <c r="AAY66" s="34"/>
      <c r="AAZ66" s="34"/>
      <c r="ABA66" s="34"/>
      <c r="ABB66" s="34"/>
      <c r="ABC66" s="34"/>
      <c r="ABD66" s="34"/>
      <c r="ABE66" s="34"/>
      <c r="ABF66" s="34"/>
      <c r="ABG66" s="34"/>
      <c r="ABH66" s="34"/>
      <c r="ABI66" s="34"/>
      <c r="ABJ66" s="34"/>
      <c r="ABK66" s="34"/>
      <c r="ABL66" s="34"/>
      <c r="ABM66" s="34"/>
      <c r="ABN66" s="34"/>
      <c r="ABO66" s="34"/>
      <c r="ABP66" s="34"/>
      <c r="ABQ66" s="34"/>
      <c r="ABR66" s="34"/>
      <c r="ABS66" s="34"/>
      <c r="ABT66" s="34"/>
      <c r="ABU66" s="34"/>
      <c r="ABV66" s="34"/>
      <c r="ABW66" s="34"/>
      <c r="ABX66" s="34"/>
      <c r="ABY66" s="34"/>
      <c r="ABZ66" s="34"/>
      <c r="ACA66" s="34"/>
      <c r="ACB66" s="34"/>
      <c r="ACC66" s="34"/>
      <c r="ACD66" s="34"/>
      <c r="ACE66" s="34"/>
      <c r="ACF66" s="34"/>
      <c r="ACG66" s="34"/>
      <c r="ACH66" s="34"/>
      <c r="ACI66" s="34"/>
      <c r="ACJ66" s="34"/>
      <c r="ACK66" s="34"/>
      <c r="ACL66" s="34"/>
      <c r="ACM66" s="34"/>
      <c r="ACN66" s="34"/>
      <c r="ACO66" s="34"/>
      <c r="ACP66" s="34"/>
      <c r="ACQ66" s="34"/>
      <c r="ACR66" s="34"/>
      <c r="ACS66" s="34"/>
      <c r="ACT66" s="34"/>
      <c r="ACU66" s="34"/>
      <c r="ACV66" s="34"/>
      <c r="ACW66" s="34"/>
      <c r="ACX66" s="34"/>
      <c r="ACY66" s="34"/>
      <c r="ACZ66" s="34"/>
      <c r="ADA66" s="34"/>
      <c r="ADB66" s="34"/>
      <c r="ADC66" s="34"/>
      <c r="ADD66" s="34"/>
      <c r="ADE66" s="34"/>
      <c r="ADF66" s="34"/>
      <c r="ADG66" s="34"/>
      <c r="ADH66" s="34"/>
      <c r="ADI66" s="34"/>
      <c r="ADJ66" s="34"/>
      <c r="ADK66" s="34"/>
      <c r="ADL66" s="34"/>
      <c r="ADM66" s="34"/>
      <c r="ADN66" s="34"/>
      <c r="ADO66" s="34"/>
      <c r="ADP66" s="34"/>
      <c r="ADQ66" s="34"/>
      <c r="ADR66" s="34"/>
      <c r="ADS66" s="34"/>
      <c r="ADT66" s="34"/>
      <c r="ADU66" s="34"/>
      <c r="ADV66" s="34"/>
      <c r="ADW66" s="34"/>
      <c r="ADX66" s="34"/>
      <c r="ADY66" s="34"/>
      <c r="ADZ66" s="34"/>
      <c r="AEA66" s="34"/>
      <c r="AEB66" s="34"/>
      <c r="AEC66" s="34"/>
      <c r="AED66" s="34"/>
      <c r="AEE66" s="34"/>
      <c r="AEF66" s="34"/>
      <c r="AEG66" s="34"/>
      <c r="AEH66" s="34"/>
      <c r="AEI66" s="34"/>
      <c r="AEJ66" s="34"/>
      <c r="AEK66" s="34"/>
      <c r="AEL66" s="34"/>
      <c r="AEM66" s="34"/>
      <c r="AEN66" s="34"/>
      <c r="AEO66" s="34"/>
      <c r="AEP66" s="34"/>
      <c r="AEQ66" s="34"/>
      <c r="AER66" s="34"/>
      <c r="AES66" s="34"/>
      <c r="AET66" s="34"/>
      <c r="AEU66" s="34"/>
      <c r="AEV66" s="34"/>
      <c r="AEW66" s="34"/>
      <c r="AEX66" s="34"/>
      <c r="AEY66" s="34"/>
      <c r="AEZ66" s="34"/>
      <c r="AFA66" s="34"/>
      <c r="AFB66" s="34"/>
      <c r="AFC66" s="34"/>
      <c r="AFD66" s="34"/>
      <c r="AFE66" s="34"/>
      <c r="AFF66" s="34"/>
      <c r="AFG66" s="34"/>
      <c r="AFH66" s="34"/>
      <c r="AFI66" s="34"/>
      <c r="AFJ66" s="34"/>
      <c r="AFK66" s="34"/>
      <c r="AFL66" s="34"/>
      <c r="AFM66" s="34"/>
      <c r="AFN66" s="34"/>
      <c r="AFO66" s="34"/>
      <c r="AFP66" s="34"/>
      <c r="AFQ66" s="34"/>
      <c r="AFR66" s="34"/>
      <c r="AFS66" s="34"/>
      <c r="AFT66" s="34"/>
      <c r="AFU66" s="34"/>
      <c r="AFV66" s="34"/>
      <c r="AFW66" s="34"/>
      <c r="AFX66" s="34"/>
      <c r="AFY66" s="34"/>
      <c r="AFZ66" s="34"/>
      <c r="AGA66" s="34"/>
      <c r="AGB66" s="34"/>
      <c r="AGC66" s="34"/>
      <c r="AGD66" s="34"/>
      <c r="AGE66" s="34"/>
      <c r="AGF66" s="34"/>
      <c r="AGG66" s="34"/>
      <c r="AGH66" s="34"/>
      <c r="AGI66" s="34"/>
      <c r="AGJ66" s="34"/>
      <c r="AGK66" s="34"/>
      <c r="AGL66" s="34"/>
      <c r="AGM66" s="34"/>
      <c r="AGN66" s="34"/>
      <c r="AGO66" s="34"/>
      <c r="AGP66" s="34"/>
      <c r="AGQ66" s="34"/>
      <c r="AGR66" s="34"/>
      <c r="AGS66" s="34"/>
      <c r="AGT66" s="34"/>
      <c r="AGU66" s="34"/>
      <c r="AGV66" s="34"/>
      <c r="AGW66" s="34"/>
      <c r="AGX66" s="34"/>
      <c r="AGY66" s="34"/>
      <c r="AGZ66" s="34"/>
      <c r="AHA66" s="34"/>
      <c r="AHB66" s="34"/>
      <c r="AHC66" s="34"/>
      <c r="AHD66" s="34"/>
      <c r="AHE66" s="34"/>
      <c r="AHF66" s="34"/>
      <c r="AHG66" s="34"/>
      <c r="AHH66" s="34"/>
      <c r="AHI66" s="34"/>
      <c r="AHJ66" s="34"/>
      <c r="AHK66" s="34"/>
      <c r="AHL66" s="34"/>
      <c r="AHM66" s="34"/>
      <c r="AHN66" s="34"/>
      <c r="AHO66" s="34"/>
      <c r="AHP66" s="34"/>
      <c r="AHQ66" s="34"/>
      <c r="AHR66" s="34"/>
      <c r="AHS66" s="34"/>
      <c r="AHT66" s="34"/>
      <c r="AHU66" s="34"/>
      <c r="AHV66" s="34"/>
      <c r="AHW66" s="34"/>
      <c r="AHX66" s="34"/>
      <c r="AHY66" s="34"/>
      <c r="AHZ66" s="34"/>
      <c r="AIA66" s="34"/>
      <c r="AIB66" s="34"/>
      <c r="AIC66" s="34"/>
      <c r="AID66" s="34"/>
      <c r="AIE66" s="34"/>
      <c r="AIF66" s="34"/>
      <c r="AIG66" s="34"/>
      <c r="AIH66" s="34"/>
      <c r="AII66" s="34"/>
      <c r="AIJ66" s="34"/>
      <c r="AIK66" s="34"/>
      <c r="AIL66" s="34"/>
      <c r="AIM66" s="34"/>
      <c r="AIN66" s="34"/>
      <c r="AIO66" s="34"/>
      <c r="AIP66" s="34"/>
      <c r="AIQ66" s="34"/>
      <c r="AIR66" s="34"/>
      <c r="AIS66" s="34"/>
      <c r="AIT66" s="34"/>
      <c r="AIU66" s="34"/>
      <c r="AIV66" s="34"/>
      <c r="AIW66" s="34"/>
      <c r="AIX66" s="34"/>
      <c r="AIY66" s="34"/>
      <c r="AIZ66" s="34"/>
      <c r="AJA66" s="34"/>
      <c r="AJB66" s="34"/>
      <c r="AJC66" s="34"/>
      <c r="AJD66" s="34"/>
      <c r="AJE66" s="34"/>
      <c r="AJF66" s="34"/>
      <c r="AJG66" s="34"/>
      <c r="AJH66" s="34"/>
      <c r="AJI66" s="34"/>
      <c r="AJJ66" s="34"/>
      <c r="AJK66" s="34"/>
      <c r="AJL66" s="34"/>
      <c r="AJM66" s="34"/>
      <c r="AJN66" s="34"/>
      <c r="AJO66" s="34"/>
      <c r="AJP66" s="34"/>
      <c r="AJQ66" s="34"/>
      <c r="AJR66" s="34"/>
      <c r="AJS66" s="34"/>
      <c r="AJT66" s="34"/>
      <c r="AJU66" s="34"/>
      <c r="AJV66" s="34"/>
      <c r="AJW66" s="34"/>
      <c r="AJX66" s="34"/>
      <c r="AJY66" s="34"/>
      <c r="AJZ66" s="34"/>
      <c r="AKA66" s="34"/>
      <c r="AKB66" s="34"/>
      <c r="AKC66" s="34"/>
      <c r="AKD66" s="34"/>
      <c r="AKE66" s="34"/>
      <c r="AKF66" s="34"/>
      <c r="AKG66" s="34"/>
      <c r="AKH66" s="34"/>
      <c r="AKI66" s="34"/>
      <c r="AKJ66" s="34"/>
      <c r="AKK66" s="34"/>
      <c r="AKL66" s="34"/>
      <c r="AKM66" s="34"/>
      <c r="AKN66" s="34"/>
      <c r="AKO66" s="34"/>
      <c r="AKP66" s="34"/>
      <c r="AKQ66" s="34"/>
      <c r="AKR66" s="34"/>
      <c r="AKS66" s="34"/>
      <c r="AKT66" s="34"/>
      <c r="AKU66" s="34"/>
      <c r="AKV66" s="34"/>
      <c r="AKW66" s="34"/>
      <c r="AKX66" s="34"/>
      <c r="AKY66" s="34"/>
      <c r="AKZ66" s="34"/>
      <c r="ALA66" s="34"/>
      <c r="ALB66" s="34"/>
      <c r="ALC66" s="34"/>
      <c r="ALD66" s="34"/>
      <c r="ALE66" s="34"/>
      <c r="ALF66" s="34"/>
      <c r="ALG66" s="34"/>
      <c r="ALH66" s="34"/>
      <c r="ALI66" s="34"/>
      <c r="ALJ66" s="34"/>
      <c r="ALK66" s="34"/>
      <c r="ALL66" s="34"/>
      <c r="ALM66" s="34"/>
      <c r="ALN66" s="34"/>
      <c r="ALO66" s="34"/>
      <c r="ALP66" s="34"/>
      <c r="ALQ66" s="34"/>
      <c r="ALR66" s="34"/>
    </row>
    <row r="67" spans="1:1006" s="35" customFormat="1">
      <c r="A67" s="27">
        <f t="shared" si="0"/>
        <v>2017</v>
      </c>
      <c r="B67" s="39">
        <v>5.2499650000000004</v>
      </c>
      <c r="C67" s="39">
        <v>4.4565109999999998E-2</v>
      </c>
      <c r="D67" s="39">
        <v>1.173</v>
      </c>
      <c r="E67" s="39">
        <v>7.400000000000001E-2</v>
      </c>
      <c r="F67" s="39">
        <v>10.4672</v>
      </c>
      <c r="G67" s="39">
        <v>4.4108000000000001E-2</v>
      </c>
      <c r="H67" s="39">
        <v>543.91999999999996</v>
      </c>
      <c r="I67" s="39">
        <v>4.2013999999999996E-2</v>
      </c>
      <c r="J67" s="39"/>
      <c r="K67" s="39"/>
      <c r="L67" s="39"/>
      <c r="M67" s="39"/>
      <c r="N67" s="39">
        <v>0.92</v>
      </c>
      <c r="O67" s="39">
        <v>0.16</v>
      </c>
      <c r="P67" s="39">
        <v>0.9</v>
      </c>
      <c r="Q67" s="39">
        <v>0.13019999999999998</v>
      </c>
      <c r="R67" s="39"/>
      <c r="S67" s="39"/>
      <c r="T67" s="39">
        <v>0.18151495483112501</v>
      </c>
      <c r="U67" s="39">
        <v>6.774378382857893E-2</v>
      </c>
      <c r="Z67" s="34"/>
      <c r="AA67" s="12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4"/>
      <c r="HE67" s="34"/>
      <c r="HF67" s="34"/>
      <c r="HG67" s="34"/>
      <c r="HH67" s="34"/>
      <c r="HI67" s="34"/>
      <c r="HJ67" s="34"/>
      <c r="HK67" s="34"/>
      <c r="HL67" s="34"/>
      <c r="HM67" s="34"/>
      <c r="HN67" s="34"/>
      <c r="HO67" s="34"/>
      <c r="HP67" s="34"/>
      <c r="HQ67" s="34"/>
      <c r="HR67" s="34"/>
      <c r="HS67" s="34"/>
      <c r="HT67" s="34"/>
      <c r="HU67" s="34"/>
      <c r="HV67" s="34"/>
      <c r="HW67" s="34"/>
      <c r="HX67" s="34"/>
      <c r="HY67" s="34"/>
      <c r="HZ67" s="34"/>
      <c r="IA67" s="34"/>
      <c r="IB67" s="34"/>
      <c r="IC67" s="34"/>
      <c r="ID67" s="34"/>
      <c r="IE67" s="34"/>
      <c r="IF67" s="34"/>
      <c r="IG67" s="34"/>
      <c r="IH67" s="34"/>
      <c r="II67" s="34"/>
      <c r="IJ67" s="34"/>
      <c r="IK67" s="34"/>
      <c r="IL67" s="34"/>
      <c r="IM67" s="34"/>
      <c r="IN67" s="34"/>
      <c r="IO67" s="34"/>
      <c r="IP67" s="34"/>
      <c r="IQ67" s="34"/>
      <c r="IR67" s="34"/>
      <c r="IS67" s="34"/>
      <c r="IT67" s="34"/>
      <c r="IU67" s="34"/>
      <c r="IV67" s="34"/>
      <c r="IW67" s="34"/>
      <c r="IX67" s="34"/>
      <c r="IY67" s="34"/>
      <c r="IZ67" s="34"/>
      <c r="JA67" s="34"/>
      <c r="JB67" s="34"/>
      <c r="JC67" s="34"/>
      <c r="JD67" s="34"/>
      <c r="JE67" s="34"/>
      <c r="JF67" s="34"/>
      <c r="JG67" s="34"/>
      <c r="JH67" s="34"/>
      <c r="JI67" s="34"/>
      <c r="JJ67" s="34"/>
      <c r="JK67" s="34"/>
      <c r="JL67" s="34"/>
      <c r="JM67" s="34"/>
      <c r="JN67" s="34"/>
      <c r="JO67" s="34"/>
      <c r="JP67" s="34"/>
      <c r="JQ67" s="34"/>
      <c r="JR67" s="34"/>
      <c r="JS67" s="34"/>
      <c r="JT67" s="34"/>
      <c r="JU67" s="34"/>
      <c r="JV67" s="34"/>
      <c r="JW67" s="34"/>
      <c r="JX67" s="34"/>
      <c r="JY67" s="34"/>
      <c r="JZ67" s="34"/>
      <c r="KA67" s="34"/>
      <c r="KB67" s="34"/>
      <c r="KC67" s="34"/>
      <c r="KD67" s="34"/>
      <c r="KE67" s="34"/>
      <c r="KF67" s="34"/>
      <c r="KG67" s="34"/>
      <c r="KH67" s="34"/>
      <c r="KI67" s="34"/>
      <c r="KJ67" s="34"/>
      <c r="KK67" s="34"/>
      <c r="KL67" s="34"/>
      <c r="KM67" s="34"/>
      <c r="KN67" s="34"/>
      <c r="KO67" s="34"/>
      <c r="KP67" s="34"/>
      <c r="KQ67" s="34"/>
      <c r="KR67" s="34"/>
      <c r="KS67" s="34"/>
      <c r="KT67" s="34"/>
      <c r="KU67" s="34"/>
      <c r="KV67" s="34"/>
      <c r="KW67" s="34"/>
      <c r="KX67" s="34"/>
      <c r="KY67" s="34"/>
      <c r="KZ67" s="34"/>
      <c r="LA67" s="34"/>
      <c r="LB67" s="34"/>
      <c r="LC67" s="34"/>
      <c r="LD67" s="34"/>
      <c r="LE67" s="34"/>
      <c r="LF67" s="34"/>
      <c r="LG67" s="34"/>
      <c r="LH67" s="34"/>
      <c r="LI67" s="34"/>
      <c r="LJ67" s="34"/>
      <c r="LK67" s="34"/>
      <c r="LL67" s="34"/>
      <c r="LM67" s="34"/>
      <c r="LN67" s="34"/>
      <c r="LO67" s="34"/>
      <c r="LP67" s="34"/>
      <c r="LQ67" s="34"/>
      <c r="LR67" s="34"/>
      <c r="LS67" s="34"/>
      <c r="LT67" s="34"/>
      <c r="LU67" s="34"/>
      <c r="LV67" s="34"/>
      <c r="LW67" s="34"/>
      <c r="LX67" s="34"/>
      <c r="LY67" s="34"/>
      <c r="LZ67" s="34"/>
      <c r="MA67" s="34"/>
      <c r="MB67" s="34"/>
      <c r="MC67" s="34"/>
      <c r="MD67" s="34"/>
      <c r="ME67" s="34"/>
      <c r="MF67" s="34"/>
      <c r="MG67" s="34"/>
      <c r="MH67" s="34"/>
      <c r="MI67" s="34"/>
      <c r="MJ67" s="34"/>
      <c r="MK67" s="34"/>
      <c r="ML67" s="34"/>
      <c r="MM67" s="34"/>
      <c r="MN67" s="34"/>
      <c r="MO67" s="34"/>
      <c r="MP67" s="34"/>
      <c r="MQ67" s="34"/>
      <c r="MR67" s="34"/>
      <c r="MS67" s="34"/>
      <c r="MT67" s="34"/>
      <c r="MU67" s="34"/>
      <c r="MV67" s="34"/>
      <c r="MW67" s="34"/>
      <c r="MX67" s="34"/>
      <c r="MY67" s="34"/>
      <c r="MZ67" s="34"/>
      <c r="NA67" s="34"/>
      <c r="NB67" s="34"/>
      <c r="NC67" s="34"/>
      <c r="ND67" s="34"/>
      <c r="NE67" s="34"/>
      <c r="NF67" s="34"/>
      <c r="NG67" s="34"/>
      <c r="NH67" s="34"/>
      <c r="NI67" s="34"/>
      <c r="NJ67" s="34"/>
      <c r="NK67" s="34"/>
      <c r="NL67" s="34"/>
      <c r="NM67" s="34"/>
      <c r="NN67" s="34"/>
      <c r="NO67" s="34"/>
      <c r="NP67" s="34"/>
      <c r="NQ67" s="34"/>
      <c r="NR67" s="34"/>
      <c r="NS67" s="34"/>
      <c r="NT67" s="34"/>
      <c r="NU67" s="34"/>
      <c r="NV67" s="34"/>
      <c r="NW67" s="34"/>
      <c r="NX67" s="34"/>
      <c r="NY67" s="34"/>
      <c r="NZ67" s="34"/>
      <c r="OA67" s="34"/>
      <c r="OB67" s="34"/>
      <c r="OC67" s="34"/>
      <c r="OD67" s="34"/>
      <c r="OE67" s="34"/>
      <c r="OF67" s="34"/>
      <c r="OG67" s="34"/>
      <c r="OH67" s="34"/>
      <c r="OI67" s="34"/>
      <c r="OJ67" s="34"/>
      <c r="OK67" s="34"/>
      <c r="OL67" s="34"/>
      <c r="OM67" s="34"/>
      <c r="ON67" s="34"/>
      <c r="OO67" s="34"/>
      <c r="OP67" s="34"/>
      <c r="OQ67" s="34"/>
      <c r="OR67" s="34"/>
      <c r="OS67" s="34"/>
      <c r="OT67" s="34"/>
      <c r="OU67" s="34"/>
      <c r="OV67" s="34"/>
      <c r="OW67" s="34"/>
      <c r="OX67" s="34"/>
      <c r="OY67" s="34"/>
      <c r="OZ67" s="34"/>
      <c r="PA67" s="34"/>
      <c r="PB67" s="34"/>
      <c r="PC67" s="34"/>
      <c r="PD67" s="34"/>
      <c r="PE67" s="34"/>
      <c r="PF67" s="34"/>
      <c r="PG67" s="34"/>
      <c r="PH67" s="34"/>
      <c r="PI67" s="34"/>
      <c r="PJ67" s="34"/>
      <c r="PK67" s="34"/>
      <c r="PL67" s="34"/>
      <c r="PM67" s="34"/>
      <c r="PN67" s="34"/>
      <c r="PO67" s="34"/>
      <c r="PP67" s="34"/>
      <c r="PQ67" s="34"/>
      <c r="PR67" s="34"/>
      <c r="PS67" s="34"/>
      <c r="PT67" s="34"/>
      <c r="PU67" s="34"/>
      <c r="PV67" s="34"/>
      <c r="PW67" s="34"/>
      <c r="PX67" s="34"/>
      <c r="PY67" s="34"/>
      <c r="PZ67" s="34"/>
      <c r="QA67" s="34"/>
      <c r="QB67" s="34"/>
      <c r="QC67" s="34"/>
      <c r="QD67" s="34"/>
      <c r="QE67" s="34"/>
      <c r="QF67" s="34"/>
      <c r="QG67" s="34"/>
      <c r="QH67" s="34"/>
      <c r="QI67" s="34"/>
      <c r="QJ67" s="34"/>
      <c r="QK67" s="34"/>
      <c r="QL67" s="34"/>
      <c r="QM67" s="34"/>
      <c r="QN67" s="34"/>
      <c r="QO67" s="34"/>
      <c r="QP67" s="34"/>
      <c r="QQ67" s="34"/>
      <c r="QR67" s="34"/>
      <c r="QS67" s="34"/>
      <c r="QT67" s="34"/>
      <c r="QU67" s="34"/>
      <c r="QV67" s="34"/>
      <c r="QW67" s="34"/>
      <c r="QX67" s="34"/>
      <c r="QY67" s="34"/>
      <c r="QZ67" s="34"/>
      <c r="RA67" s="34"/>
      <c r="RB67" s="34"/>
      <c r="RC67" s="34"/>
      <c r="RD67" s="34"/>
      <c r="RE67" s="34"/>
      <c r="RF67" s="34"/>
      <c r="RG67" s="34"/>
      <c r="RH67" s="34"/>
      <c r="RI67" s="34"/>
      <c r="RJ67" s="34"/>
      <c r="RK67" s="34"/>
      <c r="RL67" s="34"/>
      <c r="RM67" s="34"/>
      <c r="RN67" s="34"/>
      <c r="RO67" s="34"/>
      <c r="RP67" s="34"/>
      <c r="RQ67" s="34"/>
      <c r="RR67" s="34"/>
      <c r="RS67" s="34"/>
      <c r="RT67" s="34"/>
      <c r="RU67" s="34"/>
      <c r="RV67" s="34"/>
      <c r="RW67" s="34"/>
      <c r="RX67" s="34"/>
      <c r="RY67" s="34"/>
      <c r="RZ67" s="34"/>
      <c r="SA67" s="34"/>
      <c r="SB67" s="34"/>
      <c r="SC67" s="34"/>
      <c r="SD67" s="34"/>
      <c r="SE67" s="34"/>
      <c r="SF67" s="34"/>
      <c r="SG67" s="34"/>
      <c r="SH67" s="34"/>
      <c r="SI67" s="34"/>
      <c r="SJ67" s="34"/>
      <c r="SK67" s="34"/>
      <c r="SL67" s="34"/>
      <c r="SM67" s="34"/>
      <c r="SN67" s="34"/>
      <c r="SO67" s="34"/>
      <c r="SP67" s="34"/>
      <c r="SQ67" s="34"/>
      <c r="SR67" s="34"/>
      <c r="SS67" s="34"/>
      <c r="ST67" s="34"/>
      <c r="SU67" s="34"/>
      <c r="SV67" s="34"/>
      <c r="SW67" s="34"/>
      <c r="SX67" s="34"/>
      <c r="SY67" s="34"/>
      <c r="SZ67" s="34"/>
      <c r="TA67" s="34"/>
      <c r="TB67" s="34"/>
      <c r="TC67" s="34"/>
      <c r="TD67" s="34"/>
      <c r="TE67" s="34"/>
      <c r="TF67" s="34"/>
      <c r="TG67" s="34"/>
      <c r="TH67" s="34"/>
      <c r="TI67" s="34"/>
      <c r="TJ67" s="34"/>
      <c r="TK67" s="34"/>
      <c r="TL67" s="34"/>
      <c r="TM67" s="34"/>
      <c r="TN67" s="34"/>
      <c r="TO67" s="34"/>
      <c r="TP67" s="34"/>
      <c r="TQ67" s="34"/>
      <c r="TR67" s="34"/>
      <c r="TS67" s="34"/>
      <c r="TT67" s="34"/>
      <c r="TU67" s="34"/>
      <c r="TV67" s="34"/>
      <c r="TW67" s="34"/>
      <c r="TX67" s="34"/>
      <c r="TY67" s="34"/>
      <c r="TZ67" s="34"/>
      <c r="UA67" s="34"/>
      <c r="UB67" s="34"/>
      <c r="UC67" s="34"/>
      <c r="UD67" s="34"/>
      <c r="UE67" s="34"/>
      <c r="UF67" s="34"/>
      <c r="UG67" s="34"/>
      <c r="UH67" s="34"/>
      <c r="UI67" s="34"/>
      <c r="UJ67" s="34"/>
      <c r="UK67" s="34"/>
      <c r="UL67" s="34"/>
      <c r="UM67" s="34"/>
      <c r="UN67" s="34"/>
      <c r="UO67" s="34"/>
      <c r="UP67" s="34"/>
      <c r="UQ67" s="34"/>
      <c r="UR67" s="34"/>
      <c r="US67" s="34"/>
      <c r="UT67" s="34"/>
      <c r="UU67" s="34"/>
      <c r="UV67" s="34"/>
      <c r="UW67" s="34"/>
      <c r="UX67" s="34"/>
      <c r="UY67" s="34"/>
      <c r="UZ67" s="34"/>
      <c r="VA67" s="34"/>
      <c r="VB67" s="34"/>
      <c r="VC67" s="34"/>
      <c r="VD67" s="34"/>
      <c r="VE67" s="34"/>
      <c r="VF67" s="34"/>
      <c r="VG67" s="34"/>
      <c r="VH67" s="34"/>
      <c r="VI67" s="34"/>
      <c r="VJ67" s="34"/>
      <c r="VK67" s="34"/>
      <c r="VL67" s="34"/>
      <c r="VM67" s="34"/>
      <c r="VN67" s="34"/>
      <c r="VO67" s="34"/>
      <c r="VP67" s="34"/>
      <c r="VQ67" s="34"/>
      <c r="VR67" s="34"/>
      <c r="VS67" s="34"/>
      <c r="VT67" s="34"/>
      <c r="VU67" s="34"/>
      <c r="VV67" s="34"/>
      <c r="VW67" s="34"/>
      <c r="VX67" s="34"/>
      <c r="VY67" s="34"/>
      <c r="VZ67" s="34"/>
      <c r="WA67" s="34"/>
      <c r="WB67" s="34"/>
      <c r="WC67" s="34"/>
      <c r="WD67" s="34"/>
      <c r="WE67" s="34"/>
      <c r="WF67" s="34"/>
      <c r="WG67" s="34"/>
      <c r="WH67" s="34"/>
      <c r="WI67" s="34"/>
      <c r="WJ67" s="34"/>
      <c r="WK67" s="34"/>
      <c r="WL67" s="34"/>
      <c r="WM67" s="34"/>
      <c r="WN67" s="34"/>
      <c r="WO67" s="34"/>
      <c r="WP67" s="34"/>
      <c r="WQ67" s="34"/>
      <c r="WR67" s="34"/>
      <c r="WS67" s="34"/>
      <c r="WT67" s="34"/>
      <c r="WU67" s="34"/>
      <c r="WV67" s="34"/>
      <c r="WW67" s="34"/>
      <c r="WX67" s="34"/>
      <c r="WY67" s="34"/>
      <c r="WZ67" s="34"/>
      <c r="XA67" s="34"/>
      <c r="XB67" s="34"/>
      <c r="XC67" s="34"/>
      <c r="XD67" s="34"/>
      <c r="XE67" s="34"/>
      <c r="XF67" s="34"/>
      <c r="XG67" s="34"/>
      <c r="XH67" s="34"/>
      <c r="XI67" s="34"/>
      <c r="XJ67" s="34"/>
      <c r="XK67" s="34"/>
      <c r="XL67" s="34"/>
      <c r="XM67" s="34"/>
      <c r="XN67" s="34"/>
      <c r="XO67" s="34"/>
      <c r="XP67" s="34"/>
      <c r="XQ67" s="34"/>
      <c r="XR67" s="34"/>
      <c r="XS67" s="34"/>
      <c r="XT67" s="34"/>
      <c r="XU67" s="34"/>
      <c r="XV67" s="34"/>
      <c r="XW67" s="34"/>
      <c r="XX67" s="34"/>
      <c r="XY67" s="34"/>
      <c r="XZ67" s="34"/>
      <c r="YA67" s="34"/>
      <c r="YB67" s="34"/>
      <c r="YC67" s="34"/>
      <c r="YD67" s="34"/>
      <c r="YE67" s="34"/>
      <c r="YF67" s="34"/>
      <c r="YG67" s="34"/>
      <c r="YH67" s="34"/>
      <c r="YI67" s="34"/>
      <c r="YJ67" s="34"/>
      <c r="YK67" s="34"/>
      <c r="YL67" s="34"/>
      <c r="YM67" s="34"/>
      <c r="YN67" s="34"/>
      <c r="YO67" s="34"/>
      <c r="YP67" s="34"/>
      <c r="YQ67" s="34"/>
      <c r="YR67" s="34"/>
      <c r="YS67" s="34"/>
      <c r="YT67" s="34"/>
      <c r="YU67" s="34"/>
      <c r="YV67" s="34"/>
      <c r="YW67" s="34"/>
      <c r="YX67" s="34"/>
      <c r="YY67" s="34"/>
      <c r="YZ67" s="34"/>
      <c r="ZA67" s="34"/>
      <c r="ZB67" s="34"/>
      <c r="ZC67" s="34"/>
      <c r="ZD67" s="34"/>
      <c r="ZE67" s="34"/>
      <c r="ZF67" s="34"/>
      <c r="ZG67" s="34"/>
      <c r="ZH67" s="34"/>
      <c r="ZI67" s="34"/>
      <c r="ZJ67" s="34"/>
      <c r="ZK67" s="34"/>
      <c r="ZL67" s="34"/>
      <c r="ZM67" s="34"/>
      <c r="ZN67" s="34"/>
      <c r="ZO67" s="34"/>
      <c r="ZP67" s="34"/>
      <c r="ZQ67" s="34"/>
      <c r="ZR67" s="34"/>
      <c r="ZS67" s="34"/>
      <c r="ZT67" s="34"/>
      <c r="ZU67" s="34"/>
      <c r="ZV67" s="34"/>
      <c r="ZW67" s="34"/>
      <c r="ZX67" s="34"/>
      <c r="ZY67" s="34"/>
      <c r="ZZ67" s="34"/>
      <c r="AAA67" s="34"/>
      <c r="AAB67" s="34"/>
      <c r="AAC67" s="34"/>
      <c r="AAD67" s="34"/>
      <c r="AAE67" s="34"/>
      <c r="AAF67" s="34"/>
      <c r="AAG67" s="34"/>
      <c r="AAH67" s="34"/>
      <c r="AAI67" s="34"/>
      <c r="AAJ67" s="34"/>
      <c r="AAK67" s="34"/>
      <c r="AAL67" s="34"/>
      <c r="AAM67" s="34"/>
      <c r="AAN67" s="34"/>
      <c r="AAO67" s="34"/>
      <c r="AAP67" s="34"/>
      <c r="AAQ67" s="34"/>
      <c r="AAR67" s="34"/>
      <c r="AAS67" s="34"/>
      <c r="AAT67" s="34"/>
      <c r="AAU67" s="34"/>
      <c r="AAV67" s="34"/>
      <c r="AAW67" s="34"/>
      <c r="AAX67" s="34"/>
      <c r="AAY67" s="34"/>
      <c r="AAZ67" s="34"/>
      <c r="ABA67" s="34"/>
      <c r="ABB67" s="34"/>
      <c r="ABC67" s="34"/>
      <c r="ABD67" s="34"/>
      <c r="ABE67" s="34"/>
      <c r="ABF67" s="34"/>
      <c r="ABG67" s="34"/>
      <c r="ABH67" s="34"/>
      <c r="ABI67" s="34"/>
      <c r="ABJ67" s="34"/>
      <c r="ABK67" s="34"/>
      <c r="ABL67" s="34"/>
      <c r="ABM67" s="34"/>
      <c r="ABN67" s="34"/>
      <c r="ABO67" s="34"/>
      <c r="ABP67" s="34"/>
      <c r="ABQ67" s="34"/>
      <c r="ABR67" s="34"/>
      <c r="ABS67" s="34"/>
      <c r="ABT67" s="34"/>
      <c r="ABU67" s="34"/>
      <c r="ABV67" s="34"/>
      <c r="ABW67" s="34"/>
      <c r="ABX67" s="34"/>
      <c r="ABY67" s="34"/>
      <c r="ABZ67" s="34"/>
      <c r="ACA67" s="34"/>
      <c r="ACB67" s="34"/>
      <c r="ACC67" s="34"/>
      <c r="ACD67" s="34"/>
      <c r="ACE67" s="34"/>
      <c r="ACF67" s="34"/>
      <c r="ACG67" s="34"/>
      <c r="ACH67" s="34"/>
      <c r="ACI67" s="34"/>
      <c r="ACJ67" s="34"/>
      <c r="ACK67" s="34"/>
      <c r="ACL67" s="34"/>
      <c r="ACM67" s="34"/>
      <c r="ACN67" s="34"/>
      <c r="ACO67" s="34"/>
      <c r="ACP67" s="34"/>
      <c r="ACQ67" s="34"/>
      <c r="ACR67" s="34"/>
      <c r="ACS67" s="34"/>
      <c r="ACT67" s="34"/>
      <c r="ACU67" s="34"/>
      <c r="ACV67" s="34"/>
      <c r="ACW67" s="34"/>
      <c r="ACX67" s="34"/>
      <c r="ACY67" s="34"/>
      <c r="ACZ67" s="34"/>
      <c r="ADA67" s="34"/>
      <c r="ADB67" s="34"/>
      <c r="ADC67" s="34"/>
      <c r="ADD67" s="34"/>
      <c r="ADE67" s="34"/>
      <c r="ADF67" s="34"/>
      <c r="ADG67" s="34"/>
      <c r="ADH67" s="34"/>
      <c r="ADI67" s="34"/>
      <c r="ADJ67" s="34"/>
      <c r="ADK67" s="34"/>
      <c r="ADL67" s="34"/>
      <c r="ADM67" s="34"/>
      <c r="ADN67" s="34"/>
      <c r="ADO67" s="34"/>
      <c r="ADP67" s="34"/>
      <c r="ADQ67" s="34"/>
      <c r="ADR67" s="34"/>
      <c r="ADS67" s="34"/>
      <c r="ADT67" s="34"/>
      <c r="ADU67" s="34"/>
      <c r="ADV67" s="34"/>
      <c r="ADW67" s="34"/>
      <c r="ADX67" s="34"/>
      <c r="ADY67" s="34"/>
      <c r="ADZ67" s="34"/>
      <c r="AEA67" s="34"/>
      <c r="AEB67" s="34"/>
      <c r="AEC67" s="34"/>
      <c r="AED67" s="34"/>
      <c r="AEE67" s="34"/>
      <c r="AEF67" s="34"/>
      <c r="AEG67" s="34"/>
      <c r="AEH67" s="34"/>
      <c r="AEI67" s="34"/>
      <c r="AEJ67" s="34"/>
      <c r="AEK67" s="34"/>
      <c r="AEL67" s="34"/>
      <c r="AEM67" s="34"/>
      <c r="AEN67" s="34"/>
      <c r="AEO67" s="34"/>
      <c r="AEP67" s="34"/>
      <c r="AEQ67" s="34"/>
      <c r="AER67" s="34"/>
      <c r="AES67" s="34"/>
      <c r="AET67" s="34"/>
      <c r="AEU67" s="34"/>
      <c r="AEV67" s="34"/>
      <c r="AEW67" s="34"/>
      <c r="AEX67" s="34"/>
      <c r="AEY67" s="34"/>
      <c r="AEZ67" s="34"/>
      <c r="AFA67" s="34"/>
      <c r="AFB67" s="34"/>
      <c r="AFC67" s="34"/>
      <c r="AFD67" s="34"/>
      <c r="AFE67" s="34"/>
      <c r="AFF67" s="34"/>
      <c r="AFG67" s="34"/>
      <c r="AFH67" s="34"/>
      <c r="AFI67" s="34"/>
      <c r="AFJ67" s="34"/>
      <c r="AFK67" s="34"/>
      <c r="AFL67" s="34"/>
      <c r="AFM67" s="34"/>
      <c r="AFN67" s="34"/>
      <c r="AFO67" s="34"/>
      <c r="AFP67" s="34"/>
      <c r="AFQ67" s="34"/>
      <c r="AFR67" s="34"/>
      <c r="AFS67" s="34"/>
      <c r="AFT67" s="34"/>
      <c r="AFU67" s="34"/>
      <c r="AFV67" s="34"/>
      <c r="AFW67" s="34"/>
      <c r="AFX67" s="34"/>
      <c r="AFY67" s="34"/>
      <c r="AFZ67" s="34"/>
      <c r="AGA67" s="34"/>
      <c r="AGB67" s="34"/>
      <c r="AGC67" s="34"/>
      <c r="AGD67" s="34"/>
      <c r="AGE67" s="34"/>
      <c r="AGF67" s="34"/>
      <c r="AGG67" s="34"/>
      <c r="AGH67" s="34"/>
      <c r="AGI67" s="34"/>
      <c r="AGJ67" s="34"/>
      <c r="AGK67" s="34"/>
      <c r="AGL67" s="34"/>
      <c r="AGM67" s="34"/>
      <c r="AGN67" s="34"/>
      <c r="AGO67" s="34"/>
      <c r="AGP67" s="34"/>
      <c r="AGQ67" s="34"/>
      <c r="AGR67" s="34"/>
      <c r="AGS67" s="34"/>
      <c r="AGT67" s="34"/>
      <c r="AGU67" s="34"/>
      <c r="AGV67" s="34"/>
      <c r="AGW67" s="34"/>
      <c r="AGX67" s="34"/>
      <c r="AGY67" s="34"/>
      <c r="AGZ67" s="34"/>
      <c r="AHA67" s="34"/>
      <c r="AHB67" s="34"/>
      <c r="AHC67" s="34"/>
      <c r="AHD67" s="34"/>
      <c r="AHE67" s="34"/>
      <c r="AHF67" s="34"/>
      <c r="AHG67" s="34"/>
      <c r="AHH67" s="34"/>
      <c r="AHI67" s="34"/>
      <c r="AHJ67" s="34"/>
      <c r="AHK67" s="34"/>
      <c r="AHL67" s="34"/>
      <c r="AHM67" s="34"/>
      <c r="AHN67" s="34"/>
      <c r="AHO67" s="34"/>
      <c r="AHP67" s="34"/>
      <c r="AHQ67" s="34"/>
      <c r="AHR67" s="34"/>
      <c r="AHS67" s="34"/>
      <c r="AHT67" s="34"/>
      <c r="AHU67" s="34"/>
      <c r="AHV67" s="34"/>
      <c r="AHW67" s="34"/>
      <c r="AHX67" s="34"/>
      <c r="AHY67" s="34"/>
      <c r="AHZ67" s="34"/>
      <c r="AIA67" s="34"/>
      <c r="AIB67" s="34"/>
      <c r="AIC67" s="34"/>
      <c r="AID67" s="34"/>
      <c r="AIE67" s="34"/>
      <c r="AIF67" s="34"/>
      <c r="AIG67" s="34"/>
      <c r="AIH67" s="34"/>
      <c r="AII67" s="34"/>
      <c r="AIJ67" s="34"/>
      <c r="AIK67" s="34"/>
      <c r="AIL67" s="34"/>
      <c r="AIM67" s="34"/>
      <c r="AIN67" s="34"/>
      <c r="AIO67" s="34"/>
      <c r="AIP67" s="34"/>
      <c r="AIQ67" s="34"/>
      <c r="AIR67" s="34"/>
      <c r="AIS67" s="34"/>
      <c r="AIT67" s="34"/>
      <c r="AIU67" s="34"/>
      <c r="AIV67" s="34"/>
      <c r="AIW67" s="34"/>
      <c r="AIX67" s="34"/>
      <c r="AIY67" s="34"/>
      <c r="AIZ67" s="34"/>
      <c r="AJA67" s="34"/>
      <c r="AJB67" s="34"/>
      <c r="AJC67" s="34"/>
      <c r="AJD67" s="34"/>
      <c r="AJE67" s="34"/>
      <c r="AJF67" s="34"/>
      <c r="AJG67" s="34"/>
      <c r="AJH67" s="34"/>
      <c r="AJI67" s="34"/>
      <c r="AJJ67" s="34"/>
      <c r="AJK67" s="34"/>
      <c r="AJL67" s="34"/>
      <c r="AJM67" s="34"/>
      <c r="AJN67" s="34"/>
      <c r="AJO67" s="34"/>
      <c r="AJP67" s="34"/>
      <c r="AJQ67" s="34"/>
      <c r="AJR67" s="34"/>
      <c r="AJS67" s="34"/>
      <c r="AJT67" s="34"/>
      <c r="AJU67" s="34"/>
      <c r="AJV67" s="34"/>
      <c r="AJW67" s="34"/>
      <c r="AJX67" s="34"/>
      <c r="AJY67" s="34"/>
      <c r="AJZ67" s="34"/>
      <c r="AKA67" s="34"/>
      <c r="AKB67" s="34"/>
      <c r="AKC67" s="34"/>
      <c r="AKD67" s="34"/>
      <c r="AKE67" s="34"/>
      <c r="AKF67" s="34"/>
      <c r="AKG67" s="34"/>
      <c r="AKH67" s="34"/>
      <c r="AKI67" s="34"/>
      <c r="AKJ67" s="34"/>
      <c r="AKK67" s="34"/>
      <c r="AKL67" s="34"/>
      <c r="AKM67" s="34"/>
      <c r="AKN67" s="34"/>
      <c r="AKO67" s="34"/>
      <c r="AKP67" s="34"/>
      <c r="AKQ67" s="34"/>
      <c r="AKR67" s="34"/>
      <c r="AKS67" s="34"/>
      <c r="AKT67" s="34"/>
      <c r="AKU67" s="34"/>
      <c r="AKV67" s="34"/>
      <c r="AKW67" s="34"/>
      <c r="AKX67" s="34"/>
      <c r="AKY67" s="34"/>
      <c r="AKZ67" s="34"/>
      <c r="ALA67" s="34"/>
      <c r="ALB67" s="34"/>
      <c r="ALC67" s="34"/>
      <c r="ALD67" s="34"/>
      <c r="ALE67" s="34"/>
      <c r="ALF67" s="34"/>
      <c r="ALG67" s="34"/>
      <c r="ALH67" s="34"/>
      <c r="ALI67" s="34"/>
      <c r="ALJ67" s="34"/>
      <c r="ALK67" s="34"/>
      <c r="ALL67" s="34"/>
      <c r="ALM67" s="34"/>
      <c r="ALN67" s="34"/>
      <c r="ALO67" s="34"/>
      <c r="ALP67" s="34"/>
      <c r="ALQ67" s="34"/>
      <c r="ALR67" s="34"/>
    </row>
    <row r="68" spans="1:1006" s="35" customFormat="1">
      <c r="A68" s="27">
        <f t="shared" si="0"/>
        <v>2018</v>
      </c>
      <c r="B68" s="39">
        <v>6.4869490000000001</v>
      </c>
      <c r="C68" s="39">
        <v>4.4099380000000001E-2</v>
      </c>
      <c r="D68" s="39">
        <v>1.1719999999999999</v>
      </c>
      <c r="E68" s="39">
        <v>7.400000000000001E-2</v>
      </c>
      <c r="F68" s="39">
        <v>9.3323</v>
      </c>
      <c r="G68" s="39">
        <v>3.9848000000000001E-2</v>
      </c>
      <c r="H68" s="39">
        <v>483.87900000000002</v>
      </c>
      <c r="I68" s="39">
        <v>3.7955999999999997E-2</v>
      </c>
      <c r="J68" s="39"/>
      <c r="K68" s="39"/>
      <c r="L68" s="39"/>
      <c r="M68" s="39"/>
      <c r="N68" s="39">
        <v>0.57999999999999996</v>
      </c>
      <c r="O68" s="39">
        <v>0.16</v>
      </c>
      <c r="P68" s="39">
        <v>0.96</v>
      </c>
      <c r="Q68" s="39">
        <v>0.12480000000000001</v>
      </c>
      <c r="R68" s="39"/>
      <c r="S68" s="39"/>
      <c r="T68" s="39">
        <v>0.21079967233105301</v>
      </c>
      <c r="U68" s="39">
        <v>7.0722484203092725E-2</v>
      </c>
      <c r="AA68" s="12"/>
    </row>
    <row r="69" spans="1:1006" s="35" customFormat="1">
      <c r="A69" s="27">
        <f t="shared" si="0"/>
        <v>2019</v>
      </c>
      <c r="B69" s="39">
        <v>5.2972789999999996</v>
      </c>
      <c r="C69" s="39">
        <v>4.4030359999999998E-2</v>
      </c>
      <c r="D69" s="39">
        <v>1.026</v>
      </c>
      <c r="E69" s="39">
        <v>8.5000000000000006E-2</v>
      </c>
      <c r="F69" s="39">
        <v>9.7132000000000005</v>
      </c>
      <c r="G69" s="39">
        <v>3.4319000000000002E-2</v>
      </c>
      <c r="H69" s="39">
        <v>490.72199999999998</v>
      </c>
      <c r="I69" s="39">
        <v>3.2690000000000004E-2</v>
      </c>
      <c r="J69" s="39"/>
      <c r="K69" s="39"/>
      <c r="L69" s="39"/>
      <c r="M69" s="39"/>
      <c r="N69" s="39">
        <v>0.72</v>
      </c>
      <c r="O69" s="39">
        <v>0.17</v>
      </c>
      <c r="P69" s="39">
        <v>1.35</v>
      </c>
      <c r="Q69" s="39">
        <v>0.1106</v>
      </c>
      <c r="R69" s="39"/>
      <c r="S69" s="39"/>
      <c r="T69" s="39">
        <v>0.17868312177885901</v>
      </c>
      <c r="U69" s="39">
        <v>6.4282276093684143E-2</v>
      </c>
      <c r="AA69" s="12"/>
    </row>
    <row r="70" spans="1:1006" s="35" customFormat="1">
      <c r="A70" s="27">
        <f>+A69+1</f>
        <v>2020</v>
      </c>
      <c r="B70" s="39">
        <v>5.3184769999999997</v>
      </c>
      <c r="C70" s="39">
        <v>4.4441179999999997E-2</v>
      </c>
      <c r="D70" s="39">
        <v>0.90100000000000002</v>
      </c>
      <c r="E70" s="39">
        <v>9.6000000000000002E-2</v>
      </c>
      <c r="F70" s="39">
        <v>8.4940999999999995</v>
      </c>
      <c r="G70" s="39">
        <v>2.4127999999999997E-2</v>
      </c>
      <c r="H70" s="39">
        <v>425.762</v>
      </c>
      <c r="I70" s="39">
        <v>2.2981999999999999E-2</v>
      </c>
      <c r="J70" s="39"/>
      <c r="K70" s="39"/>
      <c r="L70" s="39"/>
      <c r="M70" s="39"/>
      <c r="N70" s="39">
        <v>0.86</v>
      </c>
      <c r="O70" s="39">
        <v>0.17</v>
      </c>
      <c r="P70" s="39">
        <v>0.84</v>
      </c>
      <c r="Q70" s="39">
        <v>0.13059999999999999</v>
      </c>
      <c r="R70" s="39"/>
      <c r="S70" s="39"/>
      <c r="T70" s="39">
        <v>0.23849026588515601</v>
      </c>
      <c r="U70" s="39">
        <v>6.994845735248223E-2</v>
      </c>
      <c r="AA70" s="12"/>
    </row>
    <row r="71" spans="1:1006" s="35" customFormat="1">
      <c r="A71" s="27">
        <f t="shared" si="0"/>
        <v>2021</v>
      </c>
      <c r="B71" s="39">
        <v>5.5248229999999996</v>
      </c>
      <c r="C71" s="39">
        <v>4.4584899999999997E-2</v>
      </c>
      <c r="D71" s="86">
        <v>0.84199999999999997</v>
      </c>
      <c r="E71" s="86">
        <v>0.10300000000000001</v>
      </c>
      <c r="F71" s="86">
        <v>9.2329000000000008</v>
      </c>
      <c r="G71" s="86">
        <v>3.1366999999999999E-2</v>
      </c>
      <c r="H71" s="39">
        <v>467.34100000000001</v>
      </c>
      <c r="I71" s="86">
        <v>2.9876999999999997E-2</v>
      </c>
      <c r="J71" s="86"/>
      <c r="K71" s="86"/>
      <c r="L71" s="86"/>
      <c r="M71" s="86"/>
      <c r="N71" s="86">
        <v>0.62</v>
      </c>
      <c r="O71" s="86">
        <v>0.18</v>
      </c>
      <c r="P71" s="86">
        <v>0.97</v>
      </c>
      <c r="Q71" s="86">
        <v>0.11900000000000001</v>
      </c>
      <c r="R71" s="39"/>
      <c r="S71" s="39"/>
      <c r="T71" s="39">
        <v>0.37496516967034799</v>
      </c>
      <c r="U71" s="39">
        <v>8.9518422375486004E-2</v>
      </c>
      <c r="AA71" s="12"/>
    </row>
    <row r="72" spans="1:1006" s="35" customFormat="1">
      <c r="A72" s="27">
        <f t="shared" si="0"/>
        <v>2022</v>
      </c>
      <c r="B72" s="39">
        <v>6.1139169999999998</v>
      </c>
      <c r="C72" s="39">
        <v>4.425668E-2</v>
      </c>
      <c r="D72" s="39">
        <v>0.85599999999999998</v>
      </c>
      <c r="E72" s="39">
        <v>0.10099999999999999</v>
      </c>
      <c r="F72" s="39">
        <v>8.7981999999999996</v>
      </c>
      <c r="G72" s="39">
        <v>3.0478000000000002E-2</v>
      </c>
      <c r="H72" s="39">
        <v>434.61799999999999</v>
      </c>
      <c r="I72" s="39">
        <v>2.9030999999999998E-2</v>
      </c>
      <c r="J72" s="39"/>
      <c r="K72" s="39"/>
      <c r="L72" s="39"/>
      <c r="M72" s="39"/>
      <c r="N72" s="39">
        <v>0.54</v>
      </c>
      <c r="O72" s="39">
        <v>0.18</v>
      </c>
      <c r="P72" s="39">
        <v>0.86</v>
      </c>
      <c r="Q72" s="39">
        <v>0.12039999999999999</v>
      </c>
      <c r="R72" s="39"/>
      <c r="S72" s="39"/>
      <c r="T72" s="39">
        <v>0.33888995236895098</v>
      </c>
      <c r="U72" s="39">
        <v>8.3228006490257106E-2</v>
      </c>
      <c r="AA72" s="12"/>
    </row>
    <row r="73" spans="1:1006" s="35" customFormat="1">
      <c r="A73" s="27">
        <f t="shared" si="0"/>
        <v>2023</v>
      </c>
      <c r="B73" s="39">
        <v>7.3435269999999999</v>
      </c>
      <c r="C73" s="39">
        <v>4.3936030000000001E-2</v>
      </c>
      <c r="D73" s="39">
        <v>0.82599999999999996</v>
      </c>
      <c r="E73" s="39">
        <v>0.105</v>
      </c>
      <c r="F73" s="39">
        <v>10.79</v>
      </c>
      <c r="G73" s="39">
        <v>2.8271999999999999E-2</v>
      </c>
      <c r="H73" s="39">
        <v>526.81500000000005</v>
      </c>
      <c r="I73" s="39">
        <v>2.6929999999999999E-2</v>
      </c>
      <c r="J73" s="39"/>
      <c r="K73" s="39"/>
      <c r="L73" s="39"/>
      <c r="M73" s="39"/>
      <c r="N73" s="39">
        <v>0.93</v>
      </c>
      <c r="O73" s="39">
        <v>0.22</v>
      </c>
      <c r="P73" s="39">
        <v>0.99</v>
      </c>
      <c r="Q73" s="90">
        <v>0.12369999999999999</v>
      </c>
      <c r="R73" s="39"/>
      <c r="S73" s="39"/>
      <c r="T73" s="39">
        <v>0.30117700880060999</v>
      </c>
      <c r="U73" s="39">
        <v>7.5278734009779039E-2</v>
      </c>
      <c r="AA73" s="12"/>
    </row>
    <row r="74" spans="1:1006" s="35" customFormat="1">
      <c r="A74" s="43">
        <f t="shared" si="0"/>
        <v>2024</v>
      </c>
      <c r="B74" s="44">
        <v>6.5888629999999999</v>
      </c>
      <c r="C74" s="44">
        <v>4.4079069999999998E-2</v>
      </c>
      <c r="D74" s="44">
        <v>0.58799999999999997</v>
      </c>
      <c r="E74" s="44">
        <v>0.14800000000000002</v>
      </c>
      <c r="F74" s="44">
        <v>9.7361000000000004</v>
      </c>
      <c r="G74" s="44">
        <v>2.5908E-2</v>
      </c>
      <c r="H74" s="44">
        <v>489.49799999999999</v>
      </c>
      <c r="I74" s="44">
        <v>2.4679000000000003E-2</v>
      </c>
      <c r="J74" s="44"/>
      <c r="K74" s="44"/>
      <c r="L74" s="44"/>
      <c r="M74" s="44"/>
      <c r="N74" s="44">
        <v>1.1000000000000001</v>
      </c>
      <c r="O74" s="44">
        <v>0.21</v>
      </c>
      <c r="P74" s="44">
        <v>0.93</v>
      </c>
      <c r="Q74" s="44">
        <v>0.11539999999999999</v>
      </c>
      <c r="R74" s="44"/>
      <c r="S74" s="44"/>
      <c r="T74" s="44">
        <v>0.33320629713097699</v>
      </c>
      <c r="U74" s="44">
        <v>7.057440102245835E-2</v>
      </c>
      <c r="AA74" s="12"/>
    </row>
    <row r="75" spans="1:1006">
      <c r="B75" s="13"/>
      <c r="C75" s="13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Q75" s="22"/>
      <c r="R75" s="22"/>
      <c r="S75" s="14"/>
      <c r="T75" s="22"/>
      <c r="U75" s="14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</row>
    <row r="76" spans="1:1006">
      <c r="A76" s="13"/>
      <c r="B76" s="13"/>
      <c r="C76" s="13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14"/>
      <c r="T76" s="22"/>
      <c r="U76" s="14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</row>
    <row r="77" spans="1:1006">
      <c r="B77" s="29"/>
      <c r="C77" s="29"/>
      <c r="D77"/>
      <c r="E77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</row>
    <row r="78" spans="1:1006">
      <c r="A78" s="13"/>
      <c r="B78" s="13"/>
      <c r="C78" s="13"/>
      <c r="D78"/>
      <c r="E78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</row>
    <row r="79" spans="1:1006">
      <c r="A79" s="13"/>
      <c r="B79" s="13"/>
      <c r="C79" s="13"/>
      <c r="D79"/>
      <c r="E79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</row>
    <row r="80" spans="1:1006">
      <c r="A80" s="13"/>
      <c r="B80" s="13"/>
      <c r="C80" s="13"/>
      <c r="D80"/>
      <c r="E80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</row>
    <row r="81" spans="1:1006">
      <c r="A81" s="13"/>
      <c r="B81" s="13"/>
      <c r="C81" s="13"/>
      <c r="D81"/>
      <c r="E81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</row>
    <row r="82" spans="1:1006">
      <c r="A82" s="13"/>
      <c r="B82" s="13"/>
      <c r="C82" s="13"/>
      <c r="D82" s="14"/>
      <c r="E82" s="14"/>
      <c r="F82"/>
      <c r="G82"/>
      <c r="H82"/>
      <c r="I82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</row>
    <row r="83" spans="1:1006">
      <c r="A83" s="13"/>
      <c r="B83" s="13"/>
      <c r="C83" s="13"/>
      <c r="D83" s="14"/>
      <c r="E83" s="14"/>
      <c r="F83"/>
      <c r="G83"/>
      <c r="H83"/>
      <c r="I8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</row>
    <row r="84" spans="1:1006">
      <c r="A84" s="13"/>
      <c r="B84" s="13"/>
      <c r="C84" s="13"/>
      <c r="D84" s="14"/>
      <c r="E84" s="14"/>
      <c r="F84"/>
      <c r="G84"/>
      <c r="H84"/>
      <c r="I8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</row>
    <row r="85" spans="1:1006">
      <c r="A85" s="13"/>
      <c r="B85" s="13"/>
      <c r="C85" s="13"/>
      <c r="D85" s="14"/>
      <c r="E85" s="14"/>
      <c r="F85"/>
      <c r="G85"/>
      <c r="H85"/>
      <c r="I85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</row>
    <row r="86" spans="1:1006">
      <c r="A86" s="13"/>
      <c r="B86" s="13"/>
      <c r="C86" s="13"/>
      <c r="D86" s="14"/>
      <c r="E86" s="14"/>
      <c r="F86"/>
      <c r="G86"/>
      <c r="H86"/>
      <c r="I8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</row>
    <row r="87" spans="1:1006">
      <c r="A87" s="13"/>
      <c r="B87" s="13"/>
      <c r="C87" s="13"/>
      <c r="D87" s="14"/>
      <c r="E87" s="14"/>
      <c r="F87"/>
      <c r="G87"/>
      <c r="H87"/>
      <c r="I87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</row>
    <row r="88" spans="1:1006">
      <c r="A88" s="13"/>
      <c r="B88" s="13"/>
      <c r="C88" s="13"/>
      <c r="D88" s="14"/>
      <c r="E88" s="14"/>
      <c r="F88"/>
      <c r="G88"/>
      <c r="H88"/>
      <c r="I8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</row>
    <row r="89" spans="1:1006">
      <c r="A89" s="13"/>
      <c r="B89" s="13"/>
      <c r="C89" s="13"/>
      <c r="D89" s="14"/>
      <c r="E89" s="14"/>
      <c r="F89"/>
      <c r="G89"/>
      <c r="H89"/>
      <c r="I89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</row>
    <row r="90" spans="1:1006">
      <c r="A90" s="13"/>
      <c r="B90" s="13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</row>
    <row r="91" spans="1:1006">
      <c r="A91" s="13"/>
      <c r="B91" s="13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</row>
    <row r="92" spans="1:1006">
      <c r="A92" s="13"/>
      <c r="B92" s="13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</row>
    <row r="93" spans="1:1006">
      <c r="A93" s="13"/>
      <c r="B93" s="13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</row>
    <row r="94" spans="1:1006">
      <c r="A94" s="13"/>
      <c r="B94" s="13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</row>
    <row r="96" spans="1:1006"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3" customFormat="1"/>
    <row r="134" customFormat="1"/>
    <row r="136" customFormat="1"/>
    <row r="151" customFormat="1"/>
  </sheetData>
  <mergeCells count="68">
    <mergeCell ref="L10:M10"/>
    <mergeCell ref="F9:G9"/>
    <mergeCell ref="H8:I8"/>
    <mergeCell ref="H9:I9"/>
    <mergeCell ref="J8:K8"/>
    <mergeCell ref="F10:G10"/>
    <mergeCell ref="J10:K10"/>
    <mergeCell ref="H10:I10"/>
    <mergeCell ref="J9:K9"/>
    <mergeCell ref="L9:M9"/>
    <mergeCell ref="F5:G5"/>
    <mergeCell ref="D4:E4"/>
    <mergeCell ref="F4:G4"/>
    <mergeCell ref="J4:K4"/>
    <mergeCell ref="H4:I4"/>
    <mergeCell ref="L4:M4"/>
    <mergeCell ref="D6:E6"/>
    <mergeCell ref="F7:G7"/>
    <mergeCell ref="H7:I7"/>
    <mergeCell ref="D7:E7"/>
    <mergeCell ref="J6:K6"/>
    <mergeCell ref="J7:K7"/>
    <mergeCell ref="H6:I6"/>
    <mergeCell ref="F6:G6"/>
    <mergeCell ref="F8:G8"/>
    <mergeCell ref="B10:C10"/>
    <mergeCell ref="D8:E8"/>
    <mergeCell ref="B4:C4"/>
    <mergeCell ref="B5:C5"/>
    <mergeCell ref="B6:C6"/>
    <mergeCell ref="D10:E10"/>
    <mergeCell ref="B7:C7"/>
    <mergeCell ref="B8:C8"/>
    <mergeCell ref="B9:C9"/>
    <mergeCell ref="H5:I5"/>
    <mergeCell ref="P7:Q7"/>
    <mergeCell ref="P8:Q8"/>
    <mergeCell ref="R6:S6"/>
    <mergeCell ref="L5:M5"/>
    <mergeCell ref="L6:M6"/>
    <mergeCell ref="L7:M7"/>
    <mergeCell ref="L8:M8"/>
    <mergeCell ref="J5:K5"/>
    <mergeCell ref="N5:O5"/>
    <mergeCell ref="N6:O6"/>
    <mergeCell ref="N7:O7"/>
    <mergeCell ref="R7:S7"/>
    <mergeCell ref="P6:Q6"/>
    <mergeCell ref="T4:U4"/>
    <mergeCell ref="T5:U5"/>
    <mergeCell ref="R4:S4"/>
    <mergeCell ref="R8:S8"/>
    <mergeCell ref="N4:O4"/>
    <mergeCell ref="R5:S5"/>
    <mergeCell ref="P5:Q5"/>
    <mergeCell ref="T8:U8"/>
    <mergeCell ref="P4:Q4"/>
    <mergeCell ref="T6:U6"/>
    <mergeCell ref="T7:U7"/>
    <mergeCell ref="R10:S10"/>
    <mergeCell ref="R9:S9"/>
    <mergeCell ref="T9:U9"/>
    <mergeCell ref="T10:U10"/>
    <mergeCell ref="N8:O8"/>
    <mergeCell ref="N9:O9"/>
    <mergeCell ref="N10:O10"/>
    <mergeCell ref="P10:Q10"/>
    <mergeCell ref="P9:Q9"/>
  </mergeCells>
  <pageMargins left="0.78700000000000003" right="0.78700000000000003" top="0.98399999999999999" bottom="0.98399999999999999" header="0" footer="0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BJ115"/>
  <sheetViews>
    <sheetView topLeftCell="X1" zoomScale="130" zoomScaleNormal="130" workbookViewId="0">
      <selection activeCell="AJ33" sqref="AJ33"/>
    </sheetView>
  </sheetViews>
  <sheetFormatPr defaultColWidth="10" defaultRowHeight="15"/>
  <cols>
    <col min="1" max="35" width="8.7109375" style="4" customWidth="1"/>
    <col min="36" max="43" width="8.7109375" style="2" customWidth="1"/>
    <col min="63" max="16384" width="10" style="4"/>
  </cols>
  <sheetData>
    <row r="2" spans="1:43">
      <c r="A2" s="20" t="s">
        <v>14</v>
      </c>
      <c r="B2" s="19">
        <f t="shared" ref="B2:E2" si="0">+AVERAGE(B6:B68)</f>
        <v>6.482731129032258</v>
      </c>
      <c r="C2" s="19">
        <f t="shared" si="0"/>
        <v>1.0794838709677419</v>
      </c>
      <c r="D2" s="19">
        <f t="shared" si="0"/>
        <v>8.6215166666666683</v>
      </c>
      <c r="E2" s="19">
        <f t="shared" si="0"/>
        <v>429.04511111111117</v>
      </c>
      <c r="F2" s="19">
        <f>+AVERAGE(F6:F68)</f>
        <v>0.99857142857142878</v>
      </c>
      <c r="G2" s="19">
        <f>+AVERAGE(G6:G68)</f>
        <v>1.0033333333333334</v>
      </c>
      <c r="H2" s="19">
        <f>+AVERAGE(H6:H68)</f>
        <v>1.0044117647058823</v>
      </c>
      <c r="I2" s="19">
        <f t="shared" ref="I2:M2" si="1">+AVERAGE(I6:I68)</f>
        <v>1.0414285714285714</v>
      </c>
      <c r="J2" s="19">
        <f t="shared" si="1"/>
        <v>302.93548387096774</v>
      </c>
      <c r="K2" s="19">
        <f t="shared" si="1"/>
        <v>4.564166666666666</v>
      </c>
      <c r="L2" s="19">
        <f t="shared" si="1"/>
        <v>0.2065288391569777</v>
      </c>
      <c r="M2" s="19">
        <f t="shared" si="1"/>
        <v>0.245637864800824</v>
      </c>
      <c r="N2" s="20"/>
      <c r="O2" s="20"/>
      <c r="P2" s="15" t="s">
        <v>23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/>
      <c r="AC2"/>
      <c r="AD2"/>
      <c r="AE2"/>
      <c r="AF2"/>
      <c r="AG2"/>
      <c r="AH2"/>
      <c r="AI2"/>
      <c r="AJ2"/>
      <c r="AK2"/>
      <c r="AL2"/>
      <c r="AM2"/>
    </row>
    <row r="3" spans="1:43">
      <c r="A3" s="20"/>
      <c r="B3" s="20">
        <f t="shared" ref="B3" si="2">+COUNT(B6:B68)</f>
        <v>31</v>
      </c>
      <c r="C3" s="20">
        <f t="shared" ref="C3:M3" si="3">+COUNT(C6:C68)</f>
        <v>31</v>
      </c>
      <c r="D3" s="20">
        <f t="shared" si="3"/>
        <v>36</v>
      </c>
      <c r="E3" s="20">
        <f t="shared" si="3"/>
        <v>36</v>
      </c>
      <c r="F3" s="20">
        <f t="shared" si="3"/>
        <v>14</v>
      </c>
      <c r="G3" s="20">
        <f t="shared" ref="G3:H3" si="4">+COUNT(G6:G68)</f>
        <v>15</v>
      </c>
      <c r="H3" s="20">
        <f t="shared" si="4"/>
        <v>34</v>
      </c>
      <c r="I3" s="20">
        <f t="shared" si="3"/>
        <v>21</v>
      </c>
      <c r="J3" s="20">
        <f t="shared" si="3"/>
        <v>31</v>
      </c>
      <c r="K3" s="20">
        <f t="shared" si="3"/>
        <v>12</v>
      </c>
      <c r="L3" s="20">
        <f t="shared" si="3"/>
        <v>23</v>
      </c>
      <c r="M3" s="20">
        <f t="shared" si="3"/>
        <v>31</v>
      </c>
      <c r="O3" s="20"/>
      <c r="P3" s="20"/>
      <c r="Q3" s="20">
        <f>+COUNT(Q6:Q68)-C3</f>
        <v>0</v>
      </c>
      <c r="R3" s="20">
        <f>+COUNT(R6:R68)-D3</f>
        <v>0</v>
      </c>
      <c r="S3" s="20">
        <f>+COUNT(S6:S68)-E3</f>
        <v>0</v>
      </c>
      <c r="T3" s="20">
        <f>+COUNT(T6:T68)-F3</f>
        <v>0</v>
      </c>
      <c r="U3" s="20">
        <f t="shared" ref="U3:V3" si="5">+COUNT(U6:U68)-G3</f>
        <v>0</v>
      </c>
      <c r="V3" s="20">
        <f t="shared" si="5"/>
        <v>0</v>
      </c>
      <c r="W3" s="20">
        <f>+COUNT(W6:W68)-I3</f>
        <v>0</v>
      </c>
      <c r="X3" s="20">
        <f>+COUNT(X6:X68)-J3</f>
        <v>0</v>
      </c>
      <c r="Y3" s="20">
        <f>+COUNT(Y6:Y68)-K3</f>
        <v>0</v>
      </c>
      <c r="Z3" s="20">
        <f>+COUNT(Z6:Z68)-L3</f>
        <v>0</v>
      </c>
      <c r="AA3" s="20">
        <f>+COUNT(AA6:AA68)-M3</f>
        <v>0</v>
      </c>
      <c r="AB3"/>
      <c r="AC3"/>
      <c r="AD3"/>
      <c r="AE3"/>
      <c r="AF3"/>
      <c r="AG3"/>
      <c r="AH3"/>
      <c r="AI3"/>
      <c r="AJ3"/>
      <c r="AK3"/>
      <c r="AL3"/>
      <c r="AM3"/>
    </row>
    <row r="4" spans="1:43">
      <c r="A4" s="20"/>
      <c r="B4" s="20">
        <f>+South_CPUE_2026!B3</f>
        <v>31</v>
      </c>
      <c r="C4" s="20">
        <f>+South_CPUE_2026!D3</f>
        <v>31</v>
      </c>
      <c r="D4" s="20">
        <f>+South_CPUE_2026!F3</f>
        <v>36</v>
      </c>
      <c r="E4" s="20">
        <f>+South_CPUE_2026!H3</f>
        <v>36</v>
      </c>
      <c r="F4" s="20">
        <f>+South_CPUE_2026!J3</f>
        <v>14</v>
      </c>
      <c r="G4" s="20">
        <f>+South_CPUE_2026!L3</f>
        <v>15</v>
      </c>
      <c r="H4" s="20">
        <f>+South_CPUE_2026!N3</f>
        <v>34</v>
      </c>
      <c r="I4" s="20">
        <f>+South_CPUE_2026!P3</f>
        <v>21</v>
      </c>
      <c r="J4" s="20">
        <f>+original!AO3</f>
        <v>31</v>
      </c>
      <c r="K4" s="20">
        <f>+original!AQ3</f>
        <v>12</v>
      </c>
      <c r="L4" s="20">
        <f>+South_CPUE_2026!R3</f>
        <v>23</v>
      </c>
      <c r="M4" s="20">
        <f>+South_CPUE_2026!T3</f>
        <v>31</v>
      </c>
      <c r="AB4" s="1"/>
      <c r="AC4" s="1"/>
      <c r="AD4" s="1"/>
      <c r="AE4" s="1"/>
      <c r="AF4" s="1"/>
      <c r="AG4" s="1"/>
      <c r="AH4" s="1"/>
      <c r="AI4"/>
      <c r="AJ4"/>
      <c r="AK4"/>
      <c r="AL4"/>
      <c r="AM4"/>
    </row>
    <row r="5" spans="1:43" ht="39">
      <c r="A5" s="20" t="s">
        <v>6</v>
      </c>
      <c r="B5" s="20" t="str">
        <f>+South_CPUE_2026!B4</f>
        <v>Joint LL</v>
      </c>
      <c r="C5" s="49" t="str">
        <f>+South_CPUE_2026!D4</f>
        <v>BRA-URY LL_withVessel</v>
      </c>
      <c r="D5" s="20" t="str">
        <f>+South_CPUE_2026!F4</f>
        <v>n_SPN LL</v>
      </c>
      <c r="E5" s="20" t="str">
        <f>+South_CPUE_2026!H4</f>
        <v>w_SPN LL</v>
      </c>
      <c r="F5" s="20" t="str">
        <f>+South_CPUE_2026!J4</f>
        <v>JPN LL1</v>
      </c>
      <c r="G5" s="20" t="str">
        <f>+South_CPUE_2026!L4</f>
        <v>JPN LL2</v>
      </c>
      <c r="H5" s="20" t="str">
        <f>+South_CPUE_2026!N4</f>
        <v>JPN LL3</v>
      </c>
      <c r="I5" s="20" t="str">
        <f>+South_CPUE_2026!P4</f>
        <v>ZAF LL</v>
      </c>
      <c r="J5" s="20" t="str">
        <f>+original!AO4</f>
        <v>URY LL hist*</v>
      </c>
      <c r="K5" s="20" t="str">
        <f>+original!AQ4</f>
        <v>URY LL*</v>
      </c>
      <c r="L5" s="20" t="str">
        <f>+South_CPUE_2026!R4</f>
        <v>CTP LL1</v>
      </c>
      <c r="M5" s="20" t="str">
        <f>+South_CPUE_2026!T4</f>
        <v>CTP LL2</v>
      </c>
      <c r="N5" s="21"/>
      <c r="O5" s="20"/>
      <c r="P5" s="20" t="str">
        <f>+B5</f>
        <v>Joint LL</v>
      </c>
      <c r="Q5" s="49" t="str">
        <f>+C5</f>
        <v>BRA-URY LL_withVessel</v>
      </c>
      <c r="R5" s="20" t="str">
        <f>+D5</f>
        <v>n_SPN LL</v>
      </c>
      <c r="S5" s="20" t="str">
        <f>+E5</f>
        <v>w_SPN LL</v>
      </c>
      <c r="T5" s="20" t="str">
        <f>+F5</f>
        <v>JPN LL1</v>
      </c>
      <c r="U5" s="20" t="str">
        <f t="shared" ref="U5:V5" si="6">+G5</f>
        <v>JPN LL2</v>
      </c>
      <c r="V5" s="20" t="str">
        <f t="shared" si="6"/>
        <v>JPN LL3</v>
      </c>
      <c r="W5" s="20" t="str">
        <f t="shared" ref="W5:Y5" si="7">+I5</f>
        <v>ZAF LL</v>
      </c>
      <c r="X5" s="20" t="str">
        <f t="shared" si="7"/>
        <v>URY LL hist*</v>
      </c>
      <c r="Y5" s="20" t="str">
        <f t="shared" si="7"/>
        <v>URY LL*</v>
      </c>
      <c r="Z5" s="20" t="str">
        <f t="shared" ref="Z5:AA5" si="8">+L5</f>
        <v>CTP LL1</v>
      </c>
      <c r="AA5" s="20" t="str">
        <f t="shared" si="8"/>
        <v>CTP LL2</v>
      </c>
      <c r="AB5"/>
      <c r="AC5"/>
      <c r="AD5"/>
      <c r="AE5"/>
      <c r="AF5"/>
      <c r="AG5"/>
      <c r="AH5"/>
      <c r="AI5"/>
      <c r="AJ5"/>
      <c r="AK5"/>
      <c r="AL5"/>
      <c r="AM5"/>
    </row>
    <row r="6" spans="1:43">
      <c r="A6" s="20">
        <f>+South_CPUE_2026!A12</f>
        <v>1962</v>
      </c>
      <c r="B6" s="20"/>
      <c r="C6" s="49"/>
      <c r="D6" s="19"/>
      <c r="E6" s="19"/>
      <c r="F6" s="19">
        <f>+South_CPUE_2026!J12</f>
        <v>2.5</v>
      </c>
      <c r="G6" s="19"/>
      <c r="H6" s="19"/>
      <c r="I6" s="20"/>
      <c r="J6" s="19"/>
      <c r="K6" s="19"/>
      <c r="L6" s="19"/>
      <c r="M6" s="20"/>
      <c r="N6" s="21"/>
      <c r="O6" s="20">
        <f t="shared" ref="O6:O37" si="9">+A6</f>
        <v>1962</v>
      </c>
      <c r="P6" s="20"/>
      <c r="Q6" s="20"/>
      <c r="R6" s="20"/>
      <c r="S6" s="20"/>
      <c r="T6" s="15">
        <f t="shared" ref="T6:T19" si="10">+F6/F$2</f>
        <v>2.5035765379113015</v>
      </c>
      <c r="U6" s="15"/>
      <c r="V6" s="15"/>
      <c r="W6" s="20"/>
      <c r="X6" s="20"/>
      <c r="Y6" s="20"/>
      <c r="Z6" s="20"/>
      <c r="AA6" s="20"/>
      <c r="AB6"/>
      <c r="AC6"/>
      <c r="AD6"/>
      <c r="AE6"/>
      <c r="AF6"/>
      <c r="AG6"/>
      <c r="AH6"/>
      <c r="AI6"/>
      <c r="AJ6"/>
      <c r="AK6"/>
      <c r="AL6"/>
      <c r="AM6"/>
    </row>
    <row r="7" spans="1:43">
      <c r="A7" s="20">
        <f>+South_CPUE_2026!A13</f>
        <v>1963</v>
      </c>
      <c r="B7" s="20"/>
      <c r="C7" s="49"/>
      <c r="D7" s="19"/>
      <c r="E7" s="19"/>
      <c r="F7" s="19">
        <f>+South_CPUE_2026!J13</f>
        <v>1.9</v>
      </c>
      <c r="G7" s="19"/>
      <c r="H7" s="19"/>
      <c r="I7" s="20"/>
      <c r="J7" s="19"/>
      <c r="K7" s="19"/>
      <c r="L7" s="19"/>
      <c r="M7" s="20"/>
      <c r="N7" s="21"/>
      <c r="O7" s="20">
        <f t="shared" si="9"/>
        <v>1963</v>
      </c>
      <c r="P7" s="20"/>
      <c r="Q7" s="20"/>
      <c r="R7" s="20"/>
      <c r="S7" s="20"/>
      <c r="T7" s="15">
        <f t="shared" si="10"/>
        <v>1.9027181688125889</v>
      </c>
      <c r="U7" s="15"/>
      <c r="V7" s="15"/>
      <c r="W7" s="20"/>
      <c r="X7" s="20"/>
      <c r="Y7" s="20"/>
      <c r="Z7" s="20"/>
      <c r="AA7" s="20"/>
      <c r="AB7"/>
      <c r="AC7"/>
      <c r="AD7"/>
      <c r="AE7"/>
      <c r="AF7"/>
      <c r="AG7"/>
      <c r="AH7"/>
      <c r="AI7"/>
      <c r="AJ7"/>
      <c r="AK7"/>
      <c r="AL7"/>
      <c r="AM7"/>
    </row>
    <row r="8" spans="1:43">
      <c r="A8" s="20">
        <f>+South_CPUE_2026!A14</f>
        <v>1964</v>
      </c>
      <c r="B8" s="20"/>
      <c r="C8" s="49"/>
      <c r="D8" s="19"/>
      <c r="E8" s="19"/>
      <c r="F8" s="19">
        <f>+South_CPUE_2026!J14</f>
        <v>1.7</v>
      </c>
      <c r="G8" s="19"/>
      <c r="H8" s="19"/>
      <c r="I8" s="20"/>
      <c r="J8" s="19"/>
      <c r="K8" s="19"/>
      <c r="L8" s="19"/>
      <c r="M8" s="20"/>
      <c r="N8" s="21"/>
      <c r="O8" s="20">
        <f t="shared" si="9"/>
        <v>1964</v>
      </c>
      <c r="P8" s="20"/>
      <c r="Q8" s="20"/>
      <c r="R8" s="20"/>
      <c r="S8" s="20"/>
      <c r="T8" s="15">
        <f t="shared" si="10"/>
        <v>1.7024320457796849</v>
      </c>
      <c r="U8" s="15"/>
      <c r="V8" s="15"/>
      <c r="W8" s="20"/>
      <c r="X8" s="20"/>
      <c r="Y8" s="20"/>
      <c r="Z8" s="20"/>
      <c r="AA8" s="20"/>
      <c r="AB8"/>
      <c r="AC8"/>
      <c r="AD8"/>
      <c r="AE8"/>
      <c r="AF8"/>
      <c r="AG8"/>
      <c r="AH8"/>
      <c r="AI8"/>
      <c r="AJ8"/>
      <c r="AK8"/>
      <c r="AL8"/>
      <c r="AM8"/>
    </row>
    <row r="9" spans="1:43">
      <c r="A9" s="20">
        <f>+South_CPUE_2026!A15</f>
        <v>1965</v>
      </c>
      <c r="B9" s="20"/>
      <c r="C9" s="49"/>
      <c r="D9" s="19"/>
      <c r="E9" s="19"/>
      <c r="F9" s="19">
        <f>+South_CPUE_2026!J15</f>
        <v>1.2</v>
      </c>
      <c r="G9" s="19"/>
      <c r="H9" s="19"/>
      <c r="I9" s="20"/>
      <c r="J9" s="19"/>
      <c r="K9" s="19"/>
      <c r="L9" s="19"/>
      <c r="M9" s="20"/>
      <c r="N9" s="21"/>
      <c r="O9" s="20">
        <f t="shared" si="9"/>
        <v>1965</v>
      </c>
      <c r="P9" s="20"/>
      <c r="Q9" s="20"/>
      <c r="R9" s="20"/>
      <c r="S9" s="20"/>
      <c r="T9" s="15">
        <f t="shared" si="10"/>
        <v>1.2017167381974245</v>
      </c>
      <c r="U9" s="15"/>
      <c r="V9" s="15"/>
      <c r="W9" s="20"/>
      <c r="X9" s="20"/>
      <c r="Y9" s="20"/>
      <c r="Z9" s="20"/>
      <c r="AA9" s="20"/>
      <c r="AB9"/>
      <c r="AC9"/>
      <c r="AD9"/>
      <c r="AE9"/>
      <c r="AF9"/>
      <c r="AG9"/>
      <c r="AH9"/>
      <c r="AI9"/>
      <c r="AJ9"/>
      <c r="AK9"/>
      <c r="AL9"/>
      <c r="AM9"/>
    </row>
    <row r="10" spans="1:43">
      <c r="A10" s="20">
        <f>+South_CPUE_2026!A16</f>
        <v>1966</v>
      </c>
      <c r="B10" s="20"/>
      <c r="C10" s="49"/>
      <c r="D10" s="19"/>
      <c r="E10" s="19"/>
      <c r="F10" s="19">
        <f>+South_CPUE_2026!J16</f>
        <v>0.91</v>
      </c>
      <c r="G10" s="19"/>
      <c r="H10" s="19"/>
      <c r="I10" s="20"/>
      <c r="J10" s="19"/>
      <c r="K10" s="19"/>
      <c r="L10" s="19"/>
      <c r="M10" s="20"/>
      <c r="N10" s="21"/>
      <c r="O10" s="20">
        <f t="shared" si="9"/>
        <v>1966</v>
      </c>
      <c r="P10" s="20"/>
      <c r="Q10" s="20"/>
      <c r="R10" s="20"/>
      <c r="S10" s="20"/>
      <c r="T10" s="15">
        <f t="shared" si="10"/>
        <v>0.91130185979971368</v>
      </c>
      <c r="U10" s="15"/>
      <c r="V10" s="15"/>
      <c r="W10" s="20"/>
      <c r="X10" s="20"/>
      <c r="Y10" s="20"/>
      <c r="Z10" s="20"/>
      <c r="AA10" s="2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43">
      <c r="A11" s="20">
        <f>+South_CPUE_2026!A17</f>
        <v>1967</v>
      </c>
      <c r="B11" s="20"/>
      <c r="C11" s="49"/>
      <c r="D11" s="19"/>
      <c r="E11" s="19"/>
      <c r="F11" s="19">
        <f>+South_CPUE_2026!J17</f>
        <v>0.46</v>
      </c>
      <c r="G11" s="19"/>
      <c r="H11" s="19"/>
      <c r="I11" s="20"/>
      <c r="J11" s="19"/>
      <c r="K11" s="19"/>
      <c r="L11" s="19"/>
      <c r="M11" s="20"/>
      <c r="N11" s="21"/>
      <c r="O11" s="20">
        <f t="shared" si="9"/>
        <v>1967</v>
      </c>
      <c r="P11" s="20"/>
      <c r="Q11" s="20"/>
      <c r="R11" s="20"/>
      <c r="S11" s="20"/>
      <c r="T11" s="15">
        <f t="shared" si="10"/>
        <v>0.46065808297567945</v>
      </c>
      <c r="U11" s="15"/>
      <c r="V11" s="15"/>
      <c r="W11" s="20"/>
      <c r="X11" s="20"/>
      <c r="Y11" s="20"/>
      <c r="Z11" s="20"/>
      <c r="AA11" s="20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43">
      <c r="A12" s="20">
        <f>+South_CPUE_2026!A18</f>
        <v>1968</v>
      </c>
      <c r="B12" s="20"/>
      <c r="C12" s="20"/>
      <c r="D12" s="19"/>
      <c r="E12" s="19"/>
      <c r="F12" s="19">
        <f>+South_CPUE_2026!J18</f>
        <v>0.8</v>
      </c>
      <c r="G12" s="19"/>
      <c r="H12" s="19"/>
      <c r="I12" s="20"/>
      <c r="J12" s="19"/>
      <c r="K12" s="19"/>
      <c r="L12" s="19">
        <f>+South_CPUE_2026!R18</f>
        <v>0.32900988524265801</v>
      </c>
      <c r="M12" s="20"/>
      <c r="N12" s="21"/>
      <c r="O12" s="20">
        <f t="shared" si="9"/>
        <v>1968</v>
      </c>
      <c r="P12" s="20"/>
      <c r="Q12" s="20"/>
      <c r="R12" s="20"/>
      <c r="S12" s="20"/>
      <c r="T12" s="15">
        <f t="shared" si="10"/>
        <v>0.80114449213161643</v>
      </c>
      <c r="U12" s="15"/>
      <c r="V12" s="15"/>
      <c r="W12" s="20"/>
      <c r="X12" s="20"/>
      <c r="Y12" s="20"/>
      <c r="Z12" s="15">
        <f t="shared" ref="Z12:Z34" si="11">+L12/L$2</f>
        <v>1.5930457295244145</v>
      </c>
      <c r="AA12" s="15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43">
      <c r="A13" s="20">
        <f>+South_CPUE_2026!A19</f>
        <v>1969</v>
      </c>
      <c r="B13" s="20"/>
      <c r="C13" s="20"/>
      <c r="D13" s="19"/>
      <c r="E13" s="19"/>
      <c r="F13" s="19">
        <f>+South_CPUE_2026!J19</f>
        <v>0.86</v>
      </c>
      <c r="G13" s="19"/>
      <c r="H13" s="19"/>
      <c r="I13" s="20"/>
      <c r="J13" s="19"/>
      <c r="K13" s="19"/>
      <c r="L13" s="19">
        <f>+South_CPUE_2026!R19</f>
        <v>0.26380077380802103</v>
      </c>
      <c r="M13" s="20"/>
      <c r="N13" s="21"/>
      <c r="O13" s="20">
        <f t="shared" si="9"/>
        <v>1969</v>
      </c>
      <c r="P13" s="20"/>
      <c r="Q13" s="20"/>
      <c r="R13" s="20"/>
      <c r="S13" s="20"/>
      <c r="T13" s="15">
        <f t="shared" si="10"/>
        <v>0.86123032904148766</v>
      </c>
      <c r="U13" s="15"/>
      <c r="V13" s="15"/>
      <c r="W13" s="20"/>
      <c r="X13" s="20"/>
      <c r="Y13" s="20"/>
      <c r="Z13" s="15">
        <f t="shared" si="11"/>
        <v>1.277307202639687</v>
      </c>
      <c r="AA13" s="15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43">
      <c r="A14" s="20">
        <f>+South_CPUE_2026!A20</f>
        <v>1970</v>
      </c>
      <c r="B14" s="20"/>
      <c r="C14" s="20"/>
      <c r="D14" s="19"/>
      <c r="E14" s="19"/>
      <c r="F14" s="19">
        <f>+South_CPUE_2026!J20</f>
        <v>0.81</v>
      </c>
      <c r="G14" s="19"/>
      <c r="H14" s="19"/>
      <c r="I14" s="20"/>
      <c r="J14" s="19"/>
      <c r="K14" s="19"/>
      <c r="L14" s="19">
        <f>+South_CPUE_2026!R20</f>
        <v>0.27512695569128298</v>
      </c>
      <c r="M14" s="20"/>
      <c r="N14" s="21"/>
      <c r="O14" s="20">
        <f t="shared" si="9"/>
        <v>1970</v>
      </c>
      <c r="P14" s="20"/>
      <c r="Q14" s="20"/>
      <c r="R14" s="20"/>
      <c r="S14" s="20"/>
      <c r="T14" s="15">
        <f t="shared" si="10"/>
        <v>0.81115879828326165</v>
      </c>
      <c r="U14" s="15"/>
      <c r="V14" s="15"/>
      <c r="W14" s="20"/>
      <c r="X14" s="20"/>
      <c r="Y14" s="20"/>
      <c r="Z14" s="15">
        <f t="shared" si="11"/>
        <v>1.3321478821762296</v>
      </c>
      <c r="AA14" s="15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43">
      <c r="A15" s="20">
        <f>+South_CPUE_2026!A21</f>
        <v>1971</v>
      </c>
      <c r="B15" s="20"/>
      <c r="C15" s="20"/>
      <c r="D15" s="19"/>
      <c r="E15" s="19"/>
      <c r="F15" s="19">
        <f>+South_CPUE_2026!J21</f>
        <v>0.54</v>
      </c>
      <c r="G15" s="19"/>
      <c r="H15" s="19"/>
      <c r="I15" s="20"/>
      <c r="J15" s="19"/>
      <c r="K15" s="19"/>
      <c r="L15" s="19">
        <f>+South_CPUE_2026!R21</f>
        <v>0.32417797787661401</v>
      </c>
      <c r="M15" s="20"/>
      <c r="N15" s="21"/>
      <c r="O15" s="20">
        <f t="shared" si="9"/>
        <v>1971</v>
      </c>
      <c r="P15" s="20"/>
      <c r="Q15" s="20"/>
      <c r="R15" s="20"/>
      <c r="S15" s="20"/>
      <c r="T15" s="15">
        <f t="shared" si="10"/>
        <v>0.54077253218884114</v>
      </c>
      <c r="U15" s="15"/>
      <c r="V15" s="15"/>
      <c r="W15" s="20"/>
      <c r="X15" s="20"/>
      <c r="Y15" s="20"/>
      <c r="Z15" s="15">
        <f t="shared" si="11"/>
        <v>1.5696499297621771</v>
      </c>
      <c r="AA15" s="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43">
      <c r="A16" s="20">
        <f>+South_CPUE_2026!A22</f>
        <v>1972</v>
      </c>
      <c r="B16" s="20"/>
      <c r="C16" s="20"/>
      <c r="D16" s="19"/>
      <c r="E16" s="19"/>
      <c r="F16" s="19">
        <f>+South_CPUE_2026!J22</f>
        <v>0.44</v>
      </c>
      <c r="G16" s="19"/>
      <c r="H16" s="19"/>
      <c r="I16" s="20"/>
      <c r="J16" s="19"/>
      <c r="K16" s="19"/>
      <c r="L16" s="19">
        <f>+South_CPUE_2026!R22</f>
        <v>0.249495720475094</v>
      </c>
      <c r="M16" s="20"/>
      <c r="N16" s="21"/>
      <c r="O16" s="20">
        <f t="shared" si="9"/>
        <v>1972</v>
      </c>
      <c r="P16" s="20"/>
      <c r="Q16" s="20"/>
      <c r="R16" s="20"/>
      <c r="S16" s="20"/>
      <c r="T16" s="15">
        <f t="shared" si="10"/>
        <v>0.44062947067238906</v>
      </c>
      <c r="U16" s="15"/>
      <c r="V16" s="15"/>
      <c r="W16" s="20"/>
      <c r="X16" s="20"/>
      <c r="Y16" s="20"/>
      <c r="Z16" s="15">
        <f t="shared" si="11"/>
        <v>1.2080430098455073</v>
      </c>
      <c r="AA16" s="15"/>
      <c r="AB16" s="11"/>
      <c r="AC16" s="11"/>
      <c r="AD16" s="11"/>
      <c r="AE16" s="11"/>
      <c r="AF16" s="11"/>
      <c r="AG16" s="12"/>
      <c r="AH16"/>
      <c r="AI16"/>
      <c r="AJ16"/>
      <c r="AK16"/>
      <c r="AL16"/>
      <c r="AM16"/>
      <c r="AN16" s="3"/>
      <c r="AO16" s="3"/>
      <c r="AP16" s="3"/>
      <c r="AQ16" s="5"/>
    </row>
    <row r="17" spans="1:43">
      <c r="A17" s="20">
        <f>+South_CPUE_2026!A23</f>
        <v>1973</v>
      </c>
      <c r="B17" s="20"/>
      <c r="C17" s="20"/>
      <c r="D17" s="19"/>
      <c r="E17" s="19"/>
      <c r="F17" s="19">
        <f>+South_CPUE_2026!J23</f>
        <v>0.61</v>
      </c>
      <c r="G17" s="19"/>
      <c r="H17" s="19"/>
      <c r="I17" s="20"/>
      <c r="J17" s="19"/>
      <c r="K17" s="19"/>
      <c r="L17" s="19">
        <f>+South_CPUE_2026!R23</f>
        <v>0.26956262036981199</v>
      </c>
      <c r="M17" s="20"/>
      <c r="N17" s="21"/>
      <c r="O17" s="20">
        <f t="shared" si="9"/>
        <v>1973</v>
      </c>
      <c r="P17" s="20"/>
      <c r="Q17" s="20"/>
      <c r="R17" s="20"/>
      <c r="S17" s="20"/>
      <c r="T17" s="15">
        <f t="shared" si="10"/>
        <v>0.61087267525035749</v>
      </c>
      <c r="U17" s="15"/>
      <c r="V17" s="15"/>
      <c r="W17" s="20"/>
      <c r="X17" s="20"/>
      <c r="Y17" s="20"/>
      <c r="Z17" s="15">
        <f t="shared" si="11"/>
        <v>1.3052057110771043</v>
      </c>
      <c r="AA17" s="15"/>
      <c r="AB17"/>
      <c r="AC17"/>
      <c r="AD17"/>
      <c r="AE17"/>
      <c r="AF17"/>
      <c r="AG17" s="12"/>
      <c r="AH17"/>
      <c r="AI17" s="11"/>
      <c r="AJ17"/>
      <c r="AK17"/>
      <c r="AL17"/>
      <c r="AM17"/>
      <c r="AN17" s="1"/>
      <c r="AO17" s="7"/>
      <c r="AP17" s="7"/>
      <c r="AQ17" s="7"/>
    </row>
    <row r="18" spans="1:43">
      <c r="A18" s="20">
        <f>+South_CPUE_2026!A24</f>
        <v>1974</v>
      </c>
      <c r="B18" s="20"/>
      <c r="C18" s="20"/>
      <c r="D18" s="19"/>
      <c r="E18" s="19"/>
      <c r="F18" s="19">
        <f>+South_CPUE_2026!J24</f>
        <v>0.63</v>
      </c>
      <c r="G18" s="19"/>
      <c r="H18" s="19"/>
      <c r="I18" s="20"/>
      <c r="J18" s="19"/>
      <c r="K18" s="19"/>
      <c r="L18" s="19">
        <f>+South_CPUE_2026!R24</f>
        <v>0.24951918733908399</v>
      </c>
      <c r="M18" s="20"/>
      <c r="N18" s="21"/>
      <c r="O18" s="20">
        <f t="shared" si="9"/>
        <v>1974</v>
      </c>
      <c r="P18" s="20"/>
      <c r="Q18" s="20"/>
      <c r="R18" s="20"/>
      <c r="S18" s="20"/>
      <c r="T18" s="15">
        <f t="shared" si="10"/>
        <v>0.63090128755364794</v>
      </c>
      <c r="U18" s="15"/>
      <c r="V18" s="15"/>
      <c r="W18" s="20"/>
      <c r="X18" s="20"/>
      <c r="Y18" s="20"/>
      <c r="Z18" s="15">
        <f t="shared" si="11"/>
        <v>1.2081566349648163</v>
      </c>
      <c r="AA18" s="15"/>
      <c r="AB18"/>
      <c r="AC18"/>
      <c r="AD18"/>
      <c r="AE18"/>
      <c r="AF18"/>
      <c r="AG18" s="12"/>
      <c r="AH18"/>
      <c r="AI18" s="13"/>
      <c r="AJ18" s="13"/>
      <c r="AK18" s="13"/>
      <c r="AL18" s="13"/>
      <c r="AM18" s="13"/>
      <c r="AN18" s="1"/>
      <c r="AO18" s="7"/>
      <c r="AP18" s="7"/>
      <c r="AQ18" s="7"/>
    </row>
    <row r="19" spans="1:43">
      <c r="A19" s="20">
        <f>+South_CPUE_2026!A25</f>
        <v>1975</v>
      </c>
      <c r="B19" s="20"/>
      <c r="C19" s="20"/>
      <c r="D19" s="19"/>
      <c r="E19" s="19"/>
      <c r="F19" s="19">
        <f>+South_CPUE_2026!J25</f>
        <v>0.62</v>
      </c>
      <c r="G19" s="19"/>
      <c r="H19" s="19"/>
      <c r="I19" s="20"/>
      <c r="J19" s="19"/>
      <c r="K19" s="19"/>
      <c r="L19" s="19">
        <f>+South_CPUE_2026!R25</f>
        <v>0.212016187401981</v>
      </c>
      <c r="M19" s="20"/>
      <c r="N19" s="21"/>
      <c r="O19" s="20">
        <f t="shared" si="9"/>
        <v>1975</v>
      </c>
      <c r="P19" s="20"/>
      <c r="Q19" s="20"/>
      <c r="R19" s="20"/>
      <c r="S19" s="20"/>
      <c r="T19" s="15">
        <f t="shared" si="10"/>
        <v>0.62088698140200271</v>
      </c>
      <c r="U19" s="15"/>
      <c r="V19" s="15"/>
      <c r="W19" s="20"/>
      <c r="X19" s="20"/>
      <c r="Y19" s="20"/>
      <c r="Z19" s="15">
        <f t="shared" si="11"/>
        <v>1.0265694043863409</v>
      </c>
      <c r="AA19" s="15"/>
      <c r="AB19"/>
      <c r="AC19"/>
      <c r="AD19"/>
      <c r="AE19"/>
      <c r="AF19"/>
      <c r="AG19" s="12"/>
      <c r="AH19" s="13"/>
      <c r="AI19" s="14"/>
      <c r="AJ19"/>
      <c r="AK19"/>
      <c r="AL19" s="12"/>
      <c r="AM19" s="14"/>
      <c r="AN19" s="1"/>
      <c r="AO19" s="7"/>
      <c r="AP19" s="7"/>
      <c r="AQ19" s="7"/>
    </row>
    <row r="20" spans="1:43">
      <c r="A20" s="20">
        <f>+South_CPUE_2026!A26</f>
        <v>1976</v>
      </c>
      <c r="B20" s="20"/>
      <c r="C20" s="20"/>
      <c r="D20" s="19"/>
      <c r="E20" s="19"/>
      <c r="F20" s="19"/>
      <c r="G20" s="19">
        <f>+South_CPUE_2026!L26</f>
        <v>0.66</v>
      </c>
      <c r="H20" s="19"/>
      <c r="I20" s="20"/>
      <c r="J20" s="19"/>
      <c r="K20" s="19"/>
      <c r="L20" s="19">
        <f>+South_CPUE_2026!R26</f>
        <v>0.11683258688643899</v>
      </c>
      <c r="M20" s="20"/>
      <c r="N20" s="21"/>
      <c r="O20" s="20">
        <f t="shared" si="9"/>
        <v>1976</v>
      </c>
      <c r="P20" s="20"/>
      <c r="Q20" s="20"/>
      <c r="R20" s="20"/>
      <c r="S20" s="20"/>
      <c r="T20" s="15"/>
      <c r="U20" s="15">
        <f t="shared" ref="U20:V36" si="12">+G20/G$2</f>
        <v>0.65780730897009965</v>
      </c>
      <c r="V20" s="15"/>
      <c r="W20" s="15"/>
      <c r="X20" s="20"/>
      <c r="Y20" s="20"/>
      <c r="Z20" s="15">
        <f t="shared" si="11"/>
        <v>0.56569623575735739</v>
      </c>
      <c r="AA20" s="15"/>
      <c r="AB20"/>
      <c r="AC20"/>
      <c r="AD20"/>
      <c r="AE20"/>
      <c r="AF20"/>
      <c r="AG20" s="12"/>
      <c r="AH20" s="13"/>
      <c r="AI20" s="14"/>
      <c r="AJ20"/>
      <c r="AK20"/>
      <c r="AL20" s="12"/>
      <c r="AM20" s="14"/>
      <c r="AN20" s="1"/>
      <c r="AO20" s="7"/>
      <c r="AP20" s="7"/>
      <c r="AQ20" s="7"/>
    </row>
    <row r="21" spans="1:43">
      <c r="A21" s="20">
        <f>+South_CPUE_2026!A27</f>
        <v>1977</v>
      </c>
      <c r="B21" s="20"/>
      <c r="C21" s="20"/>
      <c r="D21" s="19"/>
      <c r="E21" s="19"/>
      <c r="F21" s="19"/>
      <c r="G21" s="19">
        <f>+South_CPUE_2026!L27</f>
        <v>0.79</v>
      </c>
      <c r="H21" s="19"/>
      <c r="I21" s="20"/>
      <c r="J21" s="19"/>
      <c r="K21" s="19"/>
      <c r="L21" s="19">
        <f>+South_CPUE_2026!R27</f>
        <v>0.12657645990012001</v>
      </c>
      <c r="M21" s="20"/>
      <c r="N21" s="21"/>
      <c r="O21" s="20">
        <f t="shared" si="9"/>
        <v>1977</v>
      </c>
      <c r="P21" s="20"/>
      <c r="Q21" s="20"/>
      <c r="R21" s="20"/>
      <c r="S21" s="20"/>
      <c r="T21" s="15"/>
      <c r="U21" s="15">
        <f t="shared" si="12"/>
        <v>0.78737541528239197</v>
      </c>
      <c r="V21" s="15"/>
      <c r="W21" s="15"/>
      <c r="X21" s="20"/>
      <c r="Y21" s="20"/>
      <c r="Z21" s="15">
        <f t="shared" si="11"/>
        <v>0.61287547258188102</v>
      </c>
      <c r="AA21" s="15"/>
      <c r="AB21"/>
      <c r="AC21"/>
      <c r="AD21"/>
      <c r="AE21"/>
      <c r="AF21"/>
      <c r="AG21" s="12"/>
      <c r="AH21" s="13"/>
      <c r="AI21" s="14"/>
      <c r="AJ21" t="s">
        <v>239</v>
      </c>
      <c r="AK21" t="s">
        <v>268</v>
      </c>
      <c r="AL21" s="12"/>
      <c r="AM21" s="14"/>
      <c r="AN21" s="1"/>
      <c r="AO21" s="7"/>
      <c r="AP21" s="7"/>
      <c r="AQ21" s="7"/>
    </row>
    <row r="22" spans="1:43">
      <c r="A22" s="20">
        <f>+South_CPUE_2026!A28</f>
        <v>1978</v>
      </c>
      <c r="B22" s="20"/>
      <c r="C22" s="19"/>
      <c r="D22" s="19"/>
      <c r="E22" s="19"/>
      <c r="F22" s="19"/>
      <c r="G22" s="19">
        <f>+South_CPUE_2026!L28</f>
        <v>0.69</v>
      </c>
      <c r="H22" s="19"/>
      <c r="I22" s="20"/>
      <c r="J22" s="19"/>
      <c r="K22" s="19"/>
      <c r="L22" s="19">
        <f>+South_CPUE_2026!R28</f>
        <v>0.145036707010259</v>
      </c>
      <c r="M22" s="20"/>
      <c r="N22" s="17"/>
      <c r="O22" s="20">
        <f t="shared" si="9"/>
        <v>1978</v>
      </c>
      <c r="P22" s="20"/>
      <c r="Q22" s="20"/>
      <c r="R22" s="20"/>
      <c r="S22" s="20"/>
      <c r="T22" s="15"/>
      <c r="U22" s="15">
        <f t="shared" si="12"/>
        <v>0.68770764119601313</v>
      </c>
      <c r="V22" s="15"/>
      <c r="W22" s="15"/>
      <c r="X22" s="20"/>
      <c r="Y22" s="20"/>
      <c r="Z22" s="15">
        <f t="shared" si="11"/>
        <v>0.702258859354843</v>
      </c>
      <c r="AA22" s="15"/>
      <c r="AB22"/>
      <c r="AC22"/>
      <c r="AD22"/>
      <c r="AE22"/>
      <c r="AF22"/>
      <c r="AG22" s="12"/>
      <c r="AH22" s="13"/>
      <c r="AI22" s="14"/>
      <c r="AJ22" t="s">
        <v>275</v>
      </c>
      <c r="AK22" t="s">
        <v>269</v>
      </c>
      <c r="AL22" s="12"/>
      <c r="AM22" s="14"/>
      <c r="AN22" s="1"/>
      <c r="AO22" s="7"/>
      <c r="AP22" s="7"/>
      <c r="AQ22" s="7"/>
    </row>
    <row r="23" spans="1:43">
      <c r="A23" s="20">
        <f>+South_CPUE_2026!A29</f>
        <v>1979</v>
      </c>
      <c r="B23" s="20"/>
      <c r="C23" s="19"/>
      <c r="D23" s="19"/>
      <c r="E23" s="19"/>
      <c r="F23" s="19"/>
      <c r="G23" s="19">
        <f>+South_CPUE_2026!L29</f>
        <v>0.8</v>
      </c>
      <c r="H23" s="19"/>
      <c r="I23" s="20"/>
      <c r="J23" s="19"/>
      <c r="K23" s="19"/>
      <c r="L23" s="19">
        <f>+South_CPUE_2026!R29</f>
        <v>0.191098215114203</v>
      </c>
      <c r="M23" s="20"/>
      <c r="N23" s="17"/>
      <c r="O23" s="20">
        <f t="shared" si="9"/>
        <v>1979</v>
      </c>
      <c r="P23" s="20"/>
      <c r="Q23" s="20"/>
      <c r="R23" s="20"/>
      <c r="S23" s="20"/>
      <c r="T23" s="15"/>
      <c r="U23" s="15">
        <f t="shared" si="12"/>
        <v>0.79734219269102991</v>
      </c>
      <c r="V23" s="15"/>
      <c r="W23" s="15"/>
      <c r="X23" s="20"/>
      <c r="Y23" s="20"/>
      <c r="Z23" s="15">
        <f t="shared" si="11"/>
        <v>0.92528586271166591</v>
      </c>
      <c r="AA23" s="15"/>
      <c r="AB23"/>
      <c r="AC23"/>
      <c r="AD23"/>
      <c r="AE23"/>
      <c r="AF23"/>
      <c r="AG23" s="12"/>
      <c r="AH23" s="13"/>
      <c r="AI23" s="14"/>
      <c r="AJ23" t="s">
        <v>270</v>
      </c>
      <c r="AK23" t="s">
        <v>269</v>
      </c>
      <c r="AL23" s="12"/>
      <c r="AM23" s="14"/>
      <c r="AN23" s="1"/>
      <c r="AO23" s="7"/>
      <c r="AP23" s="7"/>
      <c r="AQ23" s="7"/>
    </row>
    <row r="24" spans="1:43">
      <c r="A24" s="20">
        <f>+South_CPUE_2026!A30</f>
        <v>1980</v>
      </c>
      <c r="B24" s="20"/>
      <c r="C24" s="19"/>
      <c r="D24" s="19"/>
      <c r="E24" s="19"/>
      <c r="F24" s="19"/>
      <c r="G24" s="19">
        <f>+South_CPUE_2026!L30</f>
        <v>0.8</v>
      </c>
      <c r="H24" s="19"/>
      <c r="I24" s="20"/>
      <c r="J24" s="19"/>
      <c r="K24" s="19"/>
      <c r="L24" s="19">
        <f>+South_CPUE_2026!R30</f>
        <v>0.190471681087058</v>
      </c>
      <c r="M24" s="20"/>
      <c r="N24" s="17"/>
      <c r="O24" s="20">
        <f t="shared" si="9"/>
        <v>1980</v>
      </c>
      <c r="P24" s="20"/>
      <c r="Q24" s="20"/>
      <c r="R24" s="20"/>
      <c r="S24" s="20"/>
      <c r="T24" s="15"/>
      <c r="U24" s="15">
        <f t="shared" si="12"/>
        <v>0.79734219269102991</v>
      </c>
      <c r="V24" s="15"/>
      <c r="W24" s="15"/>
      <c r="X24" s="20"/>
      <c r="Y24" s="20"/>
      <c r="Z24" s="15">
        <f t="shared" si="11"/>
        <v>0.92225222329499934</v>
      </c>
      <c r="AA24" s="15"/>
      <c r="AB24"/>
      <c r="AC24"/>
      <c r="AD24"/>
      <c r="AE24"/>
      <c r="AF24"/>
      <c r="AG24" s="12"/>
      <c r="AH24" s="13"/>
      <c r="AI24" s="14"/>
      <c r="AJ24" t="s">
        <v>271</v>
      </c>
      <c r="AK24" t="s">
        <v>273</v>
      </c>
      <c r="AL24" s="12"/>
      <c r="AM24" s="14"/>
      <c r="AN24" s="1"/>
      <c r="AO24" s="7"/>
      <c r="AP24" s="7"/>
      <c r="AQ24" s="7"/>
    </row>
    <row r="25" spans="1:43">
      <c r="A25" s="20">
        <f>+South_CPUE_2026!A31</f>
        <v>1981</v>
      </c>
      <c r="B25" s="20"/>
      <c r="C25" s="19"/>
      <c r="D25" s="19"/>
      <c r="E25" s="19"/>
      <c r="F25" s="19"/>
      <c r="G25" s="19">
        <f>+South_CPUE_2026!L31</f>
        <v>0.77</v>
      </c>
      <c r="H25" s="19"/>
      <c r="I25" s="20"/>
      <c r="J25" s="19"/>
      <c r="K25" s="19"/>
      <c r="L25" s="19">
        <f>+South_CPUE_2026!R31</f>
        <v>0.203746105667683</v>
      </c>
      <c r="M25" s="20"/>
      <c r="N25" s="17"/>
      <c r="O25" s="20">
        <f t="shared" si="9"/>
        <v>1981</v>
      </c>
      <c r="P25" s="20"/>
      <c r="Q25" s="20"/>
      <c r="R25" s="20"/>
      <c r="S25" s="20"/>
      <c r="T25" s="15"/>
      <c r="U25" s="15">
        <f t="shared" si="12"/>
        <v>0.7674418604651162</v>
      </c>
      <c r="V25" s="15"/>
      <c r="W25" s="15"/>
      <c r="X25" s="20"/>
      <c r="Y25" s="20"/>
      <c r="Z25" s="15">
        <f t="shared" si="11"/>
        <v>0.98652617474318149</v>
      </c>
      <c r="AA25" s="15"/>
      <c r="AB25"/>
      <c r="AC25"/>
      <c r="AD25"/>
      <c r="AE25"/>
      <c r="AF25"/>
      <c r="AG25" s="12"/>
      <c r="AH25" s="13"/>
      <c r="AI25" s="14"/>
      <c r="AJ25" t="s">
        <v>272</v>
      </c>
      <c r="AK25" s="12" t="s">
        <v>276</v>
      </c>
      <c r="AM25" s="14"/>
      <c r="AN25" s="1"/>
      <c r="AO25" s="7"/>
      <c r="AP25" s="7"/>
      <c r="AQ25" s="7"/>
    </row>
    <row r="26" spans="1:43">
      <c r="A26" s="20">
        <f>+South_CPUE_2026!A32</f>
        <v>1982</v>
      </c>
      <c r="B26" s="20"/>
      <c r="C26" s="19"/>
      <c r="D26" s="19"/>
      <c r="E26" s="19"/>
      <c r="F26" s="19"/>
      <c r="G26" s="19">
        <f>+South_CPUE_2026!L32</f>
        <v>0.88</v>
      </c>
      <c r="H26" s="19"/>
      <c r="I26" s="20"/>
      <c r="J26" s="19">
        <f>+original!AO34</f>
        <v>736</v>
      </c>
      <c r="K26" s="19"/>
      <c r="L26" s="19">
        <f>+South_CPUE_2026!R32</f>
        <v>0.179966588955395</v>
      </c>
      <c r="M26" s="20"/>
      <c r="N26" s="17"/>
      <c r="O26" s="20">
        <f t="shared" si="9"/>
        <v>1982</v>
      </c>
      <c r="P26" s="20"/>
      <c r="Q26" s="20"/>
      <c r="R26" s="20"/>
      <c r="S26" s="20"/>
      <c r="T26" s="15"/>
      <c r="U26" s="15">
        <f t="shared" si="12"/>
        <v>0.87707641196013286</v>
      </c>
      <c r="V26" s="15"/>
      <c r="W26" s="15"/>
      <c r="X26" s="15">
        <f t="shared" ref="X26:X56" si="13">+J26/J$2</f>
        <v>2.4295602172292621</v>
      </c>
      <c r="Y26" s="15"/>
      <c r="Z26" s="15">
        <f t="shared" si="11"/>
        <v>0.87138721008646469</v>
      </c>
      <c r="AA26" s="15"/>
      <c r="AB26"/>
      <c r="AC26"/>
      <c r="AD26"/>
      <c r="AE26"/>
      <c r="AF26"/>
      <c r="AG26" s="12"/>
      <c r="AH26" s="13"/>
      <c r="AI26" s="14"/>
      <c r="AJ26" t="s">
        <v>274</v>
      </c>
      <c r="AK26" s="12" t="s">
        <v>276</v>
      </c>
      <c r="AM26" s="14"/>
      <c r="AN26" s="1"/>
      <c r="AO26" s="7"/>
      <c r="AP26" s="7"/>
      <c r="AQ26" s="7"/>
    </row>
    <row r="27" spans="1:43">
      <c r="A27" s="20">
        <f>+South_CPUE_2026!A33</f>
        <v>1983</v>
      </c>
      <c r="B27" s="20"/>
      <c r="C27" s="19"/>
      <c r="D27" s="19"/>
      <c r="E27" s="19"/>
      <c r="F27" s="19"/>
      <c r="G27" s="19">
        <f>+South_CPUE_2026!L33</f>
        <v>0.76</v>
      </c>
      <c r="H27" s="19"/>
      <c r="I27" s="20"/>
      <c r="J27" s="19">
        <f>+original!AO35</f>
        <v>407</v>
      </c>
      <c r="K27" s="19"/>
      <c r="L27" s="19">
        <f>+South_CPUE_2026!R33</f>
        <v>0.175824620990677</v>
      </c>
      <c r="M27" s="20"/>
      <c r="N27" s="17"/>
      <c r="O27" s="20">
        <f t="shared" si="9"/>
        <v>1983</v>
      </c>
      <c r="P27" s="20"/>
      <c r="Q27" s="20"/>
      <c r="R27" s="20"/>
      <c r="S27" s="20"/>
      <c r="T27" s="15"/>
      <c r="U27" s="15">
        <f t="shared" si="12"/>
        <v>0.75747508305647837</v>
      </c>
      <c r="V27" s="15"/>
      <c r="W27" s="15"/>
      <c r="X27" s="15">
        <f t="shared" si="13"/>
        <v>1.3435203918645511</v>
      </c>
      <c r="Y27" s="15"/>
      <c r="Z27" s="15">
        <f t="shared" si="11"/>
        <v>0.85133205468238193</v>
      </c>
      <c r="AA27" s="15"/>
      <c r="AB27"/>
      <c r="AC27"/>
      <c r="AD27"/>
      <c r="AE27"/>
      <c r="AF27"/>
      <c r="AG27" s="12"/>
      <c r="AH27" s="13"/>
      <c r="AI27" s="14"/>
      <c r="AJ27"/>
      <c r="AK27"/>
      <c r="AL27" s="12"/>
      <c r="AM27" s="14"/>
      <c r="AN27" s="1"/>
      <c r="AO27" s="7"/>
      <c r="AP27" s="7"/>
      <c r="AQ27" s="7"/>
    </row>
    <row r="28" spans="1:43">
      <c r="A28" s="20">
        <f>+South_CPUE_2026!A34</f>
        <v>1984</v>
      </c>
      <c r="B28" s="20"/>
      <c r="C28" s="19"/>
      <c r="D28" s="19"/>
      <c r="E28" s="19"/>
      <c r="F28" s="19"/>
      <c r="G28" s="19">
        <f>+South_CPUE_2026!L34</f>
        <v>1.1000000000000001</v>
      </c>
      <c r="H28" s="19"/>
      <c r="I28" s="20"/>
      <c r="J28" s="19">
        <f>+original!AO36</f>
        <v>283</v>
      </c>
      <c r="K28" s="19"/>
      <c r="L28" s="19">
        <f>+South_CPUE_2026!R34</f>
        <v>0.20681564358629101</v>
      </c>
      <c r="M28" s="20"/>
      <c r="N28" s="17"/>
      <c r="O28" s="20">
        <f t="shared" si="9"/>
        <v>1984</v>
      </c>
      <c r="P28" s="20"/>
      <c r="Q28" s="20"/>
      <c r="R28" s="20"/>
      <c r="S28" s="20"/>
      <c r="T28" s="15"/>
      <c r="U28" s="15">
        <f t="shared" si="12"/>
        <v>1.0963455149501662</v>
      </c>
      <c r="V28" s="15"/>
      <c r="W28" s="15"/>
      <c r="X28" s="15">
        <f t="shared" si="13"/>
        <v>0.93419231178788198</v>
      </c>
      <c r="Y28" s="15"/>
      <c r="Z28" s="15">
        <f t="shared" si="11"/>
        <v>1.0013886894948134</v>
      </c>
      <c r="AA28" s="15"/>
      <c r="AB28"/>
      <c r="AC28"/>
      <c r="AD28"/>
      <c r="AE28"/>
      <c r="AF28"/>
      <c r="AG28" s="12"/>
      <c r="AH28" s="13"/>
      <c r="AI28" s="14"/>
      <c r="AJ28"/>
      <c r="AK28"/>
      <c r="AL28" s="12"/>
      <c r="AM28" s="14"/>
      <c r="AN28" s="1"/>
      <c r="AO28" s="7"/>
      <c r="AP28" s="7"/>
      <c r="AQ28" s="7"/>
    </row>
    <row r="29" spans="1:43">
      <c r="A29" s="20">
        <f>+South_CPUE_2026!A35</f>
        <v>1985</v>
      </c>
      <c r="B29" s="20"/>
      <c r="C29" s="19"/>
      <c r="D29" s="19"/>
      <c r="E29" s="19"/>
      <c r="F29" s="19"/>
      <c r="G29" s="19">
        <f>+South_CPUE_2026!L35</f>
        <v>1.5</v>
      </c>
      <c r="H29" s="19"/>
      <c r="I29" s="20"/>
      <c r="J29" s="19">
        <f>+original!AO37</f>
        <v>155</v>
      </c>
      <c r="K29" s="19"/>
      <c r="L29" s="19">
        <f>+South_CPUE_2026!R35</f>
        <v>0.15549285986078601</v>
      </c>
      <c r="M29" s="20"/>
      <c r="N29" s="17"/>
      <c r="O29" s="20">
        <f t="shared" si="9"/>
        <v>1985</v>
      </c>
      <c r="P29" s="20"/>
      <c r="Q29" s="20"/>
      <c r="R29" s="20"/>
      <c r="S29" s="20"/>
      <c r="T29" s="15"/>
      <c r="U29" s="15">
        <f t="shared" si="12"/>
        <v>1.4950166112956809</v>
      </c>
      <c r="V29" s="15"/>
      <c r="W29" s="15"/>
      <c r="X29" s="15">
        <f t="shared" si="13"/>
        <v>0.5116601000958364</v>
      </c>
      <c r="Y29" s="15"/>
      <c r="Z29" s="15">
        <f t="shared" si="11"/>
        <v>0.75288691155911425</v>
      </c>
      <c r="AA29" s="15"/>
      <c r="AB29"/>
      <c r="AC29"/>
      <c r="AD29"/>
      <c r="AE29"/>
      <c r="AF29"/>
      <c r="AG29" s="12"/>
      <c r="AH29" s="13"/>
      <c r="AI29" s="14"/>
      <c r="AJ29"/>
      <c r="AK29"/>
      <c r="AL29" s="12"/>
      <c r="AM29" s="14"/>
      <c r="AN29" s="1"/>
      <c r="AO29" s="7"/>
      <c r="AP29" s="7"/>
      <c r="AQ29" s="7"/>
    </row>
    <row r="30" spans="1:43">
      <c r="A30" s="20">
        <f>+South_CPUE_2026!A36</f>
        <v>1986</v>
      </c>
      <c r="B30" s="20"/>
      <c r="C30" s="19"/>
      <c r="D30" s="19"/>
      <c r="E30" s="19"/>
      <c r="F30" s="19"/>
      <c r="G30" s="19">
        <f>+South_CPUE_2026!L36</f>
        <v>1</v>
      </c>
      <c r="H30" s="19"/>
      <c r="I30" s="20"/>
      <c r="J30" s="19">
        <f>+original!AO38</f>
        <v>189</v>
      </c>
      <c r="K30" s="19"/>
      <c r="L30" s="19">
        <f>+South_CPUE_2026!R36</f>
        <v>0.142130716213905</v>
      </c>
      <c r="M30" s="20"/>
      <c r="N30" s="17"/>
      <c r="O30" s="20">
        <f t="shared" si="9"/>
        <v>1986</v>
      </c>
      <c r="P30" s="20"/>
      <c r="Q30" s="20"/>
      <c r="R30" s="20"/>
      <c r="S30" s="20"/>
      <c r="T30" s="15"/>
      <c r="U30" s="15">
        <f t="shared" si="12"/>
        <v>0.99667774086378735</v>
      </c>
      <c r="V30" s="15"/>
      <c r="W30" s="15"/>
      <c r="X30" s="15">
        <f t="shared" si="13"/>
        <v>0.62389521882653609</v>
      </c>
      <c r="Y30" s="15"/>
      <c r="Z30" s="15">
        <f t="shared" si="11"/>
        <v>0.68818822976037153</v>
      </c>
      <c r="AA30" s="15"/>
      <c r="AB30"/>
      <c r="AC30"/>
      <c r="AD30"/>
      <c r="AE30"/>
      <c r="AF30"/>
      <c r="AG30" s="12"/>
      <c r="AH30" s="13"/>
      <c r="AI30" s="14"/>
      <c r="AJ30"/>
      <c r="AK30"/>
      <c r="AL30"/>
      <c r="AM30"/>
      <c r="AN30"/>
      <c r="AO30" s="12"/>
      <c r="AP30" s="13"/>
      <c r="AQ30" s="7"/>
    </row>
    <row r="31" spans="1:43">
      <c r="A31" s="20">
        <f>+South_CPUE_2026!A37</f>
        <v>1987</v>
      </c>
      <c r="B31" s="20"/>
      <c r="C31" s="19"/>
      <c r="D31" s="19"/>
      <c r="E31" s="19"/>
      <c r="F31" s="19"/>
      <c r="G31" s="19">
        <f>+South_CPUE_2026!L37</f>
        <v>1.5</v>
      </c>
      <c r="H31" s="19"/>
      <c r="I31" s="20"/>
      <c r="J31" s="19">
        <f>+original!AO39</f>
        <v>386</v>
      </c>
      <c r="K31" s="19"/>
      <c r="L31" s="19">
        <f>+South_CPUE_2026!R37</f>
        <v>0.16097630958939399</v>
      </c>
      <c r="M31" s="20"/>
      <c r="N31" s="17"/>
      <c r="O31" s="20">
        <f t="shared" si="9"/>
        <v>1987</v>
      </c>
      <c r="P31" s="20"/>
      <c r="Q31" s="20"/>
      <c r="R31" s="20"/>
      <c r="S31" s="20"/>
      <c r="T31" s="15"/>
      <c r="U31" s="15">
        <f t="shared" si="12"/>
        <v>1.4950166112956809</v>
      </c>
      <c r="V31" s="15"/>
      <c r="W31" s="15"/>
      <c r="X31" s="15">
        <f t="shared" si="13"/>
        <v>1.2741987008838249</v>
      </c>
      <c r="Y31" s="15"/>
      <c r="Z31" s="15">
        <f t="shared" si="11"/>
        <v>0.77943743956765132</v>
      </c>
      <c r="AA31" s="15"/>
      <c r="AB31"/>
      <c r="AC31"/>
      <c r="AD31"/>
      <c r="AE31"/>
      <c r="AF31"/>
      <c r="AG31" s="12"/>
      <c r="AH31" s="13"/>
      <c r="AI31" s="14"/>
      <c r="AJ31"/>
      <c r="AK31"/>
      <c r="AL31"/>
      <c r="AM31"/>
      <c r="AN31"/>
      <c r="AO31" s="12"/>
      <c r="AP31" s="13"/>
      <c r="AQ31" s="7"/>
    </row>
    <row r="32" spans="1:43">
      <c r="A32" s="20">
        <f>+South_CPUE_2026!A38</f>
        <v>1988</v>
      </c>
      <c r="B32" s="20"/>
      <c r="C32" s="19"/>
      <c r="D32" s="19"/>
      <c r="E32" s="19"/>
      <c r="F32" s="19"/>
      <c r="G32" s="19">
        <f>+South_CPUE_2026!L38</f>
        <v>1.3</v>
      </c>
      <c r="H32" s="19"/>
      <c r="I32" s="20"/>
      <c r="J32" s="19">
        <f>+original!AO40</f>
        <v>272</v>
      </c>
      <c r="K32" s="19"/>
      <c r="L32" s="19">
        <f>+South_CPUE_2026!R38</f>
        <v>0.18779183538031499</v>
      </c>
      <c r="M32" s="20"/>
      <c r="N32" s="17"/>
      <c r="O32" s="20">
        <f t="shared" si="9"/>
        <v>1988</v>
      </c>
      <c r="P32" s="20"/>
      <c r="Q32" s="20"/>
      <c r="R32" s="20"/>
      <c r="S32" s="20"/>
      <c r="T32" s="15"/>
      <c r="U32" s="15">
        <f t="shared" si="12"/>
        <v>1.2956810631229236</v>
      </c>
      <c r="V32" s="15"/>
      <c r="W32" s="15"/>
      <c r="X32" s="15">
        <f t="shared" si="13"/>
        <v>0.89788094984559685</v>
      </c>
      <c r="Y32" s="15"/>
      <c r="Z32" s="15">
        <f t="shared" si="11"/>
        <v>0.90927657438474652</v>
      </c>
      <c r="AA32" s="15"/>
      <c r="AB32"/>
      <c r="AC32"/>
      <c r="AD32"/>
      <c r="AE32"/>
      <c r="AF32"/>
      <c r="AG32" s="12"/>
      <c r="AH32" s="13"/>
      <c r="AI32" s="14"/>
      <c r="AJ32"/>
      <c r="AK32"/>
      <c r="AL32" s="12"/>
      <c r="AM32" s="14"/>
      <c r="AN32" s="1"/>
      <c r="AO32" s="7"/>
      <c r="AP32" s="7"/>
      <c r="AQ32" s="7"/>
    </row>
    <row r="33" spans="1:43">
      <c r="A33" s="20">
        <f>+South_CPUE_2026!A39</f>
        <v>1989</v>
      </c>
      <c r="B33" s="20"/>
      <c r="C33" s="19"/>
      <c r="D33" s="19">
        <f>+South_CPUE_2026!F39</f>
        <v>9.6327999999999996</v>
      </c>
      <c r="E33" s="19">
        <f>+South_CPUE_2026!H39</f>
        <v>516.60400000000004</v>
      </c>
      <c r="F33" s="19"/>
      <c r="G33" s="19">
        <f>+South_CPUE_2026!L39</f>
        <v>1.2</v>
      </c>
      <c r="H33" s="19"/>
      <c r="I33" s="20"/>
      <c r="J33" s="19">
        <f>+original!AO41</f>
        <v>347</v>
      </c>
      <c r="K33" s="19"/>
      <c r="L33" s="19">
        <f>+South_CPUE_2026!R39</f>
        <v>0.213383571139691</v>
      </c>
      <c r="M33" s="20"/>
      <c r="N33" s="17"/>
      <c r="O33" s="20">
        <f t="shared" si="9"/>
        <v>1989</v>
      </c>
      <c r="P33" s="20"/>
      <c r="Q33" s="20"/>
      <c r="R33" s="15">
        <f t="shared" ref="R33:R63" si="14">+D33/D$2</f>
        <v>1.1172976139155715</v>
      </c>
      <c r="S33" s="15">
        <f t="shared" ref="S33:S63" si="15">+E33/E$2</f>
        <v>1.2040785144064106</v>
      </c>
      <c r="T33" s="15"/>
      <c r="U33" s="15">
        <f t="shared" si="12"/>
        <v>1.1960132890365447</v>
      </c>
      <c r="V33" s="15"/>
      <c r="W33" s="15"/>
      <c r="X33" s="15">
        <f t="shared" si="13"/>
        <v>1.1454584176339049</v>
      </c>
      <c r="Y33" s="15"/>
      <c r="Z33" s="15">
        <f t="shared" si="11"/>
        <v>1.033190192762877</v>
      </c>
      <c r="AA33" s="15"/>
      <c r="AB33"/>
      <c r="AC33"/>
      <c r="AD33"/>
      <c r="AE33"/>
      <c r="AF33"/>
      <c r="AG33" s="12"/>
      <c r="AH33" s="13"/>
      <c r="AI33" s="14"/>
      <c r="AJ33"/>
      <c r="AK33"/>
      <c r="AL33" s="12"/>
      <c r="AM33" s="14"/>
      <c r="AN33" s="1"/>
      <c r="AO33" s="7"/>
      <c r="AP33" s="7"/>
      <c r="AQ33" s="7"/>
    </row>
    <row r="34" spans="1:43">
      <c r="A34" s="20">
        <f>+South_CPUE_2026!A40</f>
        <v>1990</v>
      </c>
      <c r="B34" s="20"/>
      <c r="C34" s="19"/>
      <c r="D34" s="19">
        <f>+South_CPUE_2026!F40</f>
        <v>7.2861000000000002</v>
      </c>
      <c r="E34" s="19">
        <f>+South_CPUE_2026!H40</f>
        <v>402.49299999999999</v>
      </c>
      <c r="F34" s="19"/>
      <c r="G34" s="19">
        <f>+South_CPUE_2026!L40</f>
        <v>1.3</v>
      </c>
      <c r="H34" s="19"/>
      <c r="I34" s="20"/>
      <c r="J34" s="19">
        <f>+original!AO42</f>
        <v>270</v>
      </c>
      <c r="K34" s="19"/>
      <c r="L34" s="19">
        <f>+South_CPUE_2026!R40</f>
        <v>0.181310091023724</v>
      </c>
      <c r="M34" s="20"/>
      <c r="N34" s="17"/>
      <c r="O34" s="20">
        <f t="shared" si="9"/>
        <v>1990</v>
      </c>
      <c r="P34" s="20"/>
      <c r="Q34" s="20"/>
      <c r="R34" s="15">
        <f t="shared" si="14"/>
        <v>0.845106526113928</v>
      </c>
      <c r="S34" s="15">
        <f t="shared" si="15"/>
        <v>0.93811347472915296</v>
      </c>
      <c r="T34" s="15"/>
      <c r="U34" s="15">
        <f t="shared" si="12"/>
        <v>1.2956810631229236</v>
      </c>
      <c r="V34" s="15"/>
      <c r="W34" s="15"/>
      <c r="X34" s="15">
        <f t="shared" si="13"/>
        <v>0.89127888403790867</v>
      </c>
      <c r="Y34" s="15"/>
      <c r="Z34" s="15">
        <f t="shared" si="11"/>
        <v>0.87789236488137368</v>
      </c>
      <c r="AA34" s="15"/>
      <c r="AB34"/>
      <c r="AC34"/>
      <c r="AD34"/>
      <c r="AE34"/>
      <c r="AF34"/>
      <c r="AG34" s="12"/>
      <c r="AH34" s="13"/>
      <c r="AI34" s="14"/>
      <c r="AJ34"/>
      <c r="AK34"/>
      <c r="AL34" s="12"/>
      <c r="AM34" s="14"/>
      <c r="AN34" s="1"/>
      <c r="AO34" s="7"/>
      <c r="AP34" s="7"/>
      <c r="AQ34" s="7"/>
    </row>
    <row r="35" spans="1:43">
      <c r="A35" s="20">
        <f>+South_CPUE_2026!A41</f>
        <v>1991</v>
      </c>
      <c r="B35" s="20"/>
      <c r="C35" s="19"/>
      <c r="D35" s="19">
        <f>+South_CPUE_2026!F41</f>
        <v>7.4092000000000002</v>
      </c>
      <c r="E35" s="19">
        <f>+South_CPUE_2026!H41</f>
        <v>394.51799999999997</v>
      </c>
      <c r="F35" s="19"/>
      <c r="G35" s="19"/>
      <c r="H35" s="19">
        <f>+South_CPUE_2026!N41</f>
        <v>2</v>
      </c>
      <c r="I35" s="20"/>
      <c r="J35" s="19">
        <f>+original!AO43</f>
        <v>270</v>
      </c>
      <c r="K35" s="19"/>
      <c r="L35" s="19"/>
      <c r="M35" s="20"/>
      <c r="N35" s="17"/>
      <c r="O35" s="20">
        <f t="shared" si="9"/>
        <v>1991</v>
      </c>
      <c r="P35" s="20"/>
      <c r="Q35" s="20"/>
      <c r="R35" s="15">
        <f t="shared" si="14"/>
        <v>0.85938475635570677</v>
      </c>
      <c r="S35" s="15">
        <f t="shared" si="15"/>
        <v>0.9195256857217291</v>
      </c>
      <c r="T35" s="15"/>
      <c r="U35" s="15"/>
      <c r="V35" s="15">
        <f t="shared" si="12"/>
        <v>1.9912152269399708</v>
      </c>
      <c r="W35" s="15"/>
      <c r="X35" s="15">
        <f t="shared" si="13"/>
        <v>0.89127888403790867</v>
      </c>
      <c r="Y35" s="15"/>
      <c r="Z35" s="20"/>
      <c r="AA35" s="15"/>
      <c r="AB35"/>
      <c r="AC35"/>
      <c r="AD35"/>
      <c r="AE35"/>
      <c r="AF35"/>
      <c r="AG35" s="12"/>
      <c r="AH35" s="13"/>
      <c r="AI35" s="14"/>
      <c r="AJ35"/>
      <c r="AK35"/>
      <c r="AL35" s="12"/>
      <c r="AM35" s="14"/>
      <c r="AO35" s="7"/>
      <c r="AP35" s="7"/>
      <c r="AQ35" s="7"/>
    </row>
    <row r="36" spans="1:43">
      <c r="A36" s="20">
        <f>+South_CPUE_2026!A42</f>
        <v>1992</v>
      </c>
      <c r="B36" s="20"/>
      <c r="C36" s="19"/>
      <c r="D36" s="19">
        <f>+South_CPUE_2026!F42</f>
        <v>6.6773999999999996</v>
      </c>
      <c r="E36" s="19">
        <f>+South_CPUE_2026!H42</f>
        <v>358.51499999999999</v>
      </c>
      <c r="F36" s="19"/>
      <c r="G36" s="19"/>
      <c r="H36" s="19">
        <f>+South_CPUE_2026!N42</f>
        <v>2.1</v>
      </c>
      <c r="I36" s="20"/>
      <c r="J36" s="19">
        <f>+original!AO44</f>
        <v>189</v>
      </c>
      <c r="K36" s="19"/>
      <c r="L36" s="19"/>
      <c r="M36" s="20"/>
      <c r="N36" s="17"/>
      <c r="O36" s="20">
        <f t="shared" si="9"/>
        <v>1992</v>
      </c>
      <c r="P36" s="20"/>
      <c r="Q36" s="20"/>
      <c r="R36" s="15">
        <f t="shared" si="14"/>
        <v>0.77450409924007935</v>
      </c>
      <c r="S36" s="15">
        <f t="shared" si="15"/>
        <v>0.83561143272683558</v>
      </c>
      <c r="T36" s="15"/>
      <c r="U36" s="15"/>
      <c r="V36" s="15">
        <f t="shared" si="12"/>
        <v>2.0907759882869694</v>
      </c>
      <c r="W36" s="15"/>
      <c r="X36" s="15">
        <f t="shared" si="13"/>
        <v>0.62389521882653609</v>
      </c>
      <c r="Y36" s="15"/>
      <c r="Z36" s="20"/>
      <c r="AA36" s="15"/>
      <c r="AB36"/>
      <c r="AC36"/>
      <c r="AD36"/>
      <c r="AE36"/>
      <c r="AF36"/>
      <c r="AG36" s="12"/>
      <c r="AH36" s="13"/>
      <c r="AI36" s="14"/>
      <c r="AJ36"/>
      <c r="AK36"/>
      <c r="AL36" s="12"/>
      <c r="AM36" s="14"/>
      <c r="AO36" s="7"/>
      <c r="AP36" s="7"/>
      <c r="AQ36" s="7"/>
    </row>
    <row r="37" spans="1:43">
      <c r="A37" s="20">
        <f>+South_CPUE_2026!A43</f>
        <v>1993</v>
      </c>
      <c r="B37" s="19"/>
      <c r="C37" s="19"/>
      <c r="D37" s="19">
        <f>+South_CPUE_2026!F43</f>
        <v>6.0407000000000002</v>
      </c>
      <c r="E37" s="19">
        <f>+South_CPUE_2026!H43</f>
        <v>311.089</v>
      </c>
      <c r="F37" s="19"/>
      <c r="G37" s="19"/>
      <c r="H37" s="19">
        <f>+South_CPUE_2026!N43</f>
        <v>1.5</v>
      </c>
      <c r="I37" s="20"/>
      <c r="J37" s="19">
        <f>+original!AO45</f>
        <v>463</v>
      </c>
      <c r="K37" s="19"/>
      <c r="L37" s="19"/>
      <c r="M37" s="20"/>
      <c r="N37" s="17"/>
      <c r="O37" s="20">
        <f t="shared" si="9"/>
        <v>1993</v>
      </c>
      <c r="P37" s="20"/>
      <c r="Q37" s="20"/>
      <c r="R37" s="15">
        <f t="shared" si="14"/>
        <v>0.70065398392780842</v>
      </c>
      <c r="S37" s="15">
        <f t="shared" si="15"/>
        <v>0.72507293975303289</v>
      </c>
      <c r="T37" s="15"/>
      <c r="U37" s="15"/>
      <c r="V37" s="15">
        <f t="shared" ref="V37:V68" si="16">+H37/H$2</f>
        <v>1.493411420204978</v>
      </c>
      <c r="W37" s="15"/>
      <c r="X37" s="15">
        <f t="shared" si="13"/>
        <v>1.5283782344798211</v>
      </c>
      <c r="Y37" s="15"/>
      <c r="Z37" s="20"/>
      <c r="AA37" s="15"/>
      <c r="AB37"/>
      <c r="AC37"/>
      <c r="AD37"/>
      <c r="AE37"/>
      <c r="AF37"/>
      <c r="AG37" s="12"/>
      <c r="AH37" s="13"/>
      <c r="AI37" s="14"/>
      <c r="AJ37"/>
      <c r="AK37"/>
      <c r="AL37"/>
      <c r="AM37" s="14"/>
      <c r="AO37" s="7"/>
      <c r="AP37" s="7"/>
      <c r="AQ37" s="7"/>
    </row>
    <row r="38" spans="1:43">
      <c r="A38" s="20">
        <f>+South_CPUE_2026!A44</f>
        <v>1994</v>
      </c>
      <c r="B38" s="19">
        <f>+South_CPUE_2026!B44</f>
        <v>9.3203949999999995</v>
      </c>
      <c r="C38" s="19">
        <f>+South_CPUE_2026!D44</f>
        <v>0.91500000000000004</v>
      </c>
      <c r="D38" s="19">
        <f>+South_CPUE_2026!F44</f>
        <v>7.3697999999999997</v>
      </c>
      <c r="E38" s="19">
        <f>+South_CPUE_2026!H44</f>
        <v>359.15199999999999</v>
      </c>
      <c r="F38" s="19"/>
      <c r="G38" s="19"/>
      <c r="H38" s="19">
        <f>+South_CPUE_2026!N44</f>
        <v>1.6</v>
      </c>
      <c r="I38" s="20"/>
      <c r="J38" s="19">
        <f>+original!AO46</f>
        <v>334</v>
      </c>
      <c r="K38" s="19"/>
      <c r="L38" s="19"/>
      <c r="M38" s="20">
        <f>+South_CPUE_2026!T44</f>
        <v>0.58632003176731495</v>
      </c>
      <c r="N38" s="17"/>
      <c r="O38" s="20">
        <f t="shared" ref="O38:O68" si="17">+A38</f>
        <v>1994</v>
      </c>
      <c r="P38" s="15">
        <f>+B38/B$2</f>
        <v>1.4377266023357886</v>
      </c>
      <c r="Q38" s="15">
        <f>+C38/C$2</f>
        <v>0.84762730098015782</v>
      </c>
      <c r="R38" s="15">
        <f t="shared" si="14"/>
        <v>0.85481479476735511</v>
      </c>
      <c r="S38" s="15">
        <f t="shared" si="15"/>
        <v>0.83709612509018716</v>
      </c>
      <c r="T38" s="15"/>
      <c r="U38" s="15"/>
      <c r="V38" s="15">
        <f t="shared" si="16"/>
        <v>1.5929721815519766</v>
      </c>
      <c r="W38" s="20"/>
      <c r="X38" s="15">
        <f t="shared" si="13"/>
        <v>1.1025449898839315</v>
      </c>
      <c r="Y38" s="15"/>
      <c r="Z38" s="20"/>
      <c r="AA38" s="15">
        <f t="shared" ref="AA38:AA41" si="18">+M38/M$2</f>
        <v>2.3869285472039654</v>
      </c>
      <c r="AB38"/>
      <c r="AC38"/>
      <c r="AD38"/>
      <c r="AE38"/>
      <c r="AF38"/>
      <c r="AG38" s="12"/>
      <c r="AH38" s="13"/>
      <c r="AI38" s="14"/>
      <c r="AJ38"/>
      <c r="AK38"/>
      <c r="AL38"/>
      <c r="AM38" s="14"/>
      <c r="AO38" s="7"/>
      <c r="AP38" s="7"/>
      <c r="AQ38" s="7"/>
    </row>
    <row r="39" spans="1:43">
      <c r="A39" s="20">
        <f>+South_CPUE_2026!A45</f>
        <v>1995</v>
      </c>
      <c r="B39" s="19">
        <f>+South_CPUE_2026!B45</f>
        <v>8.2203470000000003</v>
      </c>
      <c r="C39" s="19">
        <f>+South_CPUE_2026!D45</f>
        <v>1.262</v>
      </c>
      <c r="D39" s="19">
        <f>+South_CPUE_2026!F45</f>
        <v>8.6716999999999995</v>
      </c>
      <c r="E39" s="19">
        <f>+South_CPUE_2026!H45</f>
        <v>410.60500000000002</v>
      </c>
      <c r="F39" s="19"/>
      <c r="G39" s="19"/>
      <c r="H39" s="19">
        <f>+South_CPUE_2026!N45</f>
        <v>1.2</v>
      </c>
      <c r="I39" s="20"/>
      <c r="J39" s="19">
        <f>+original!AO47</f>
        <v>500</v>
      </c>
      <c r="K39" s="19"/>
      <c r="L39" s="19"/>
      <c r="M39" s="20">
        <f>+South_CPUE_2026!T45</f>
        <v>0.397020971834387</v>
      </c>
      <c r="N39" s="17"/>
      <c r="O39" s="20">
        <f t="shared" si="17"/>
        <v>1995</v>
      </c>
      <c r="P39" s="15">
        <f t="shared" ref="P39:P68" si="19">+B39/B$2</f>
        <v>1.268037627410769</v>
      </c>
      <c r="Q39" s="15">
        <f t="shared" ref="Q39:Q63" si="20">+C39/C$2</f>
        <v>1.1690772173081521</v>
      </c>
      <c r="R39" s="15">
        <f t="shared" si="14"/>
        <v>1.0058207082667201</v>
      </c>
      <c r="S39" s="15">
        <f t="shared" si="15"/>
        <v>0.95702057747877323</v>
      </c>
      <c r="T39" s="15"/>
      <c r="U39" s="15"/>
      <c r="V39" s="15">
        <f t="shared" si="16"/>
        <v>1.1947291361639825</v>
      </c>
      <c r="W39" s="20"/>
      <c r="X39" s="15">
        <f t="shared" si="13"/>
        <v>1.650516451922053</v>
      </c>
      <c r="Y39" s="15"/>
      <c r="Z39" s="20"/>
      <c r="AA39" s="15">
        <f t="shared" si="18"/>
        <v>1.6162857145673055</v>
      </c>
      <c r="AB39"/>
      <c r="AC39"/>
      <c r="AD39"/>
      <c r="AE39"/>
      <c r="AF39"/>
      <c r="AG39" s="12"/>
      <c r="AH39" s="13"/>
      <c r="AI39" s="14"/>
      <c r="AJ39"/>
      <c r="AK39"/>
      <c r="AL39"/>
      <c r="AM39" s="14"/>
      <c r="AN39" s="6"/>
      <c r="AO39" s="7"/>
      <c r="AP39" s="7"/>
      <c r="AQ39" s="7"/>
    </row>
    <row r="40" spans="1:43">
      <c r="A40" s="20">
        <f>+South_CPUE_2026!A46</f>
        <v>1996</v>
      </c>
      <c r="B40" s="19">
        <f>+South_CPUE_2026!B46</f>
        <v>8.7621029999999998</v>
      </c>
      <c r="C40" s="19">
        <f>+South_CPUE_2026!D46</f>
        <v>1.216</v>
      </c>
      <c r="D40" s="19">
        <f>+South_CPUE_2026!F46</f>
        <v>7.5808999999999997</v>
      </c>
      <c r="E40" s="19">
        <f>+South_CPUE_2026!H46</f>
        <v>365.61099999999999</v>
      </c>
      <c r="F40" s="19"/>
      <c r="G40" s="19"/>
      <c r="H40" s="19">
        <f>+South_CPUE_2026!N46</f>
        <v>1.2</v>
      </c>
      <c r="I40" s="20"/>
      <c r="J40" s="19">
        <f>+original!AO48</f>
        <v>416</v>
      </c>
      <c r="K40" s="19"/>
      <c r="L40" s="19"/>
      <c r="M40" s="20">
        <f>+South_CPUE_2026!T46</f>
        <v>0.43723129326850702</v>
      </c>
      <c r="N40" s="17"/>
      <c r="O40" s="20">
        <f t="shared" si="17"/>
        <v>1996</v>
      </c>
      <c r="P40" s="15">
        <f t="shared" si="19"/>
        <v>1.3516067264859721</v>
      </c>
      <c r="Q40" s="15">
        <f t="shared" si="20"/>
        <v>1.1264642601004065</v>
      </c>
      <c r="R40" s="15">
        <f t="shared" si="14"/>
        <v>0.87930004581560461</v>
      </c>
      <c r="S40" s="15">
        <f t="shared" si="15"/>
        <v>0.85215048611826871</v>
      </c>
      <c r="T40" s="15"/>
      <c r="U40" s="15"/>
      <c r="V40" s="15">
        <f t="shared" si="16"/>
        <v>1.1947291361639825</v>
      </c>
      <c r="W40" s="20"/>
      <c r="X40" s="15">
        <f t="shared" si="13"/>
        <v>1.3732296879991481</v>
      </c>
      <c r="Y40" s="15"/>
      <c r="Z40" s="20"/>
      <c r="AA40" s="15">
        <f t="shared" si="18"/>
        <v>1.7799832840227501</v>
      </c>
      <c r="AB40"/>
      <c r="AC40"/>
      <c r="AD40"/>
      <c r="AE40"/>
      <c r="AF40"/>
      <c r="AG40" s="12"/>
      <c r="AH40" s="13"/>
      <c r="AI40" s="14"/>
      <c r="AJ40"/>
      <c r="AK40"/>
      <c r="AL40"/>
      <c r="AM40" s="14"/>
      <c r="AN40" s="6"/>
      <c r="AO40" s="7"/>
      <c r="AP40" s="7"/>
      <c r="AQ40" s="7"/>
    </row>
    <row r="41" spans="1:43">
      <c r="A41" s="20">
        <f>+South_CPUE_2026!A47</f>
        <v>1997</v>
      </c>
      <c r="B41" s="19">
        <f>+South_CPUE_2026!B47</f>
        <v>7.3664690000000004</v>
      </c>
      <c r="C41" s="19">
        <f>+South_CPUE_2026!D47</f>
        <v>1.1910000000000001</v>
      </c>
      <c r="D41" s="19">
        <f>+South_CPUE_2026!F47</f>
        <v>7.6167999999999996</v>
      </c>
      <c r="E41" s="19">
        <f>+South_CPUE_2026!H47</f>
        <v>360.35599999999999</v>
      </c>
      <c r="F41" s="19"/>
      <c r="G41" s="19"/>
      <c r="H41" s="19">
        <f>+South_CPUE_2026!N47</f>
        <v>1.3</v>
      </c>
      <c r="I41" s="20"/>
      <c r="J41" s="19">
        <f>+original!AO49</f>
        <v>452</v>
      </c>
      <c r="K41" s="19"/>
      <c r="L41" s="19"/>
      <c r="M41" s="20">
        <f>+South_CPUE_2026!T47</f>
        <v>0.27092018032151399</v>
      </c>
      <c r="N41" s="17"/>
      <c r="O41" s="20">
        <f t="shared" si="17"/>
        <v>1997</v>
      </c>
      <c r="P41" s="15">
        <f t="shared" si="19"/>
        <v>1.136321845434868</v>
      </c>
      <c r="Q41" s="15">
        <f t="shared" si="20"/>
        <v>1.1033050442266317</v>
      </c>
      <c r="R41" s="15">
        <f t="shared" si="14"/>
        <v>0.88346404634915332</v>
      </c>
      <c r="S41" s="15">
        <f t="shared" si="15"/>
        <v>0.83990235680992864</v>
      </c>
      <c r="T41" s="15"/>
      <c r="U41" s="15"/>
      <c r="V41" s="15">
        <f t="shared" si="16"/>
        <v>1.2942898975109811</v>
      </c>
      <c r="W41" s="20"/>
      <c r="X41" s="15">
        <f t="shared" si="13"/>
        <v>1.4920668725375359</v>
      </c>
      <c r="Y41" s="15"/>
      <c r="Z41" s="20"/>
      <c r="AA41" s="15">
        <f t="shared" si="18"/>
        <v>1.1029251558638575</v>
      </c>
      <c r="AB41"/>
      <c r="AC41"/>
      <c r="AD41"/>
      <c r="AE41"/>
      <c r="AF41"/>
      <c r="AG41" s="12"/>
      <c r="AH41" s="13"/>
      <c r="AI41" s="14"/>
      <c r="AJ41"/>
      <c r="AK41"/>
      <c r="AL41" s="14"/>
      <c r="AM41" s="14"/>
      <c r="AN41" s="6"/>
      <c r="AO41" s="7"/>
      <c r="AP41" s="7"/>
      <c r="AQ41" s="7"/>
    </row>
    <row r="42" spans="1:43">
      <c r="A42" s="20">
        <f>+South_CPUE_2026!A48</f>
        <v>1998</v>
      </c>
      <c r="B42" s="19">
        <f>+South_CPUE_2026!B48</f>
        <v>8.628698</v>
      </c>
      <c r="C42" s="19">
        <f>+South_CPUE_2026!D48</f>
        <v>1.2490000000000001</v>
      </c>
      <c r="D42" s="19">
        <f>+South_CPUE_2026!F48</f>
        <v>7.5117000000000003</v>
      </c>
      <c r="E42" s="19">
        <f>+South_CPUE_2026!H48</f>
        <v>348.78800000000001</v>
      </c>
      <c r="F42" s="19"/>
      <c r="G42" s="19"/>
      <c r="H42" s="19">
        <f>+South_CPUE_2026!N48</f>
        <v>1.2</v>
      </c>
      <c r="I42" s="20"/>
      <c r="J42" s="19">
        <f>+original!AO50</f>
        <v>347</v>
      </c>
      <c r="K42" s="19"/>
      <c r="L42" s="19"/>
      <c r="M42" s="20">
        <f>+South_CPUE_2026!T48</f>
        <v>0.201281962415262</v>
      </c>
      <c r="N42" s="17"/>
      <c r="O42" s="20">
        <f t="shared" si="17"/>
        <v>1998</v>
      </c>
      <c r="P42" s="15">
        <f t="shared" si="19"/>
        <v>1.3310282083668787</v>
      </c>
      <c r="Q42" s="15">
        <f t="shared" si="20"/>
        <v>1.1570344250537894</v>
      </c>
      <c r="R42" s="15">
        <f t="shared" si="14"/>
        <v>0.87127361581778906</v>
      </c>
      <c r="S42" s="15">
        <f t="shared" si="15"/>
        <v>0.81294015703088451</v>
      </c>
      <c r="T42" s="15"/>
      <c r="U42" s="15"/>
      <c r="V42" s="15">
        <f t="shared" si="16"/>
        <v>1.1947291361639825</v>
      </c>
      <c r="W42" s="20"/>
      <c r="X42" s="15">
        <f t="shared" si="13"/>
        <v>1.1454584176339049</v>
      </c>
      <c r="Y42" s="15"/>
      <c r="Z42" s="20"/>
      <c r="AA42" s="15">
        <f t="shared" ref="AA42:AA68" si="21">+M42/M$2</f>
        <v>0.81942563121720635</v>
      </c>
      <c r="AB42"/>
      <c r="AC42"/>
      <c r="AD42"/>
      <c r="AE42"/>
      <c r="AF42"/>
      <c r="AG42" s="12"/>
      <c r="AH42" s="13"/>
      <c r="AI42" s="14"/>
      <c r="AJ42"/>
      <c r="AK42" s="14"/>
      <c r="AL42" s="14"/>
      <c r="AM42" s="14"/>
      <c r="AN42" s="6"/>
      <c r="AO42" s="7"/>
      <c r="AP42" s="7"/>
      <c r="AQ42" s="7"/>
    </row>
    <row r="43" spans="1:43">
      <c r="A43" s="20">
        <f>+South_CPUE_2026!A49</f>
        <v>1999</v>
      </c>
      <c r="B43" s="19">
        <f>+South_CPUE_2026!B49</f>
        <v>6.1147470000000004</v>
      </c>
      <c r="C43" s="19">
        <f>+South_CPUE_2026!D49</f>
        <v>1.032</v>
      </c>
      <c r="D43" s="19">
        <f>+South_CPUE_2026!F49</f>
        <v>7.87</v>
      </c>
      <c r="E43" s="19">
        <f>+South_CPUE_2026!H49</f>
        <v>380.93099999999998</v>
      </c>
      <c r="F43" s="19"/>
      <c r="G43" s="19"/>
      <c r="H43" s="19">
        <f>+South_CPUE_2026!N49</f>
        <v>1.1000000000000001</v>
      </c>
      <c r="I43" s="20"/>
      <c r="J43" s="19">
        <f>+original!AO51</f>
        <v>330</v>
      </c>
      <c r="K43" s="19"/>
      <c r="L43" s="19"/>
      <c r="M43" s="20">
        <f>+South_CPUE_2026!T49</f>
        <v>0.18563456252924601</v>
      </c>
      <c r="N43" s="17"/>
      <c r="O43" s="20">
        <f t="shared" si="17"/>
        <v>1999</v>
      </c>
      <c r="P43" s="15">
        <f t="shared" si="19"/>
        <v>0.94323625001439937</v>
      </c>
      <c r="Q43" s="15">
        <f t="shared" si="20"/>
        <v>0.95601243126942392</v>
      </c>
      <c r="R43" s="15">
        <f t="shared" si="14"/>
        <v>0.91283242894231664</v>
      </c>
      <c r="S43" s="15">
        <f t="shared" si="15"/>
        <v>0.88785768707046075</v>
      </c>
      <c r="T43" s="15"/>
      <c r="U43" s="15"/>
      <c r="V43" s="15">
        <f t="shared" si="16"/>
        <v>1.095168374816984</v>
      </c>
      <c r="W43" s="20"/>
      <c r="X43" s="15">
        <f t="shared" si="13"/>
        <v>1.0893408582685551</v>
      </c>
      <c r="Y43" s="15"/>
      <c r="Z43" s="20"/>
      <c r="AA43" s="15">
        <f t="shared" ref="AA43:AA51" si="22">+M43/M$2</f>
        <v>0.75572454059461969</v>
      </c>
      <c r="AB43"/>
      <c r="AC43"/>
      <c r="AD43"/>
      <c r="AE43"/>
      <c r="AF43"/>
      <c r="AG43" s="12"/>
      <c r="AH43" s="13"/>
      <c r="AI43" s="14"/>
      <c r="AJ43"/>
      <c r="AK43" s="14"/>
      <c r="AL43" s="14"/>
      <c r="AM43" s="14"/>
      <c r="AN43" s="6"/>
      <c r="AO43" s="7"/>
      <c r="AP43" s="7"/>
      <c r="AQ43" s="7"/>
    </row>
    <row r="44" spans="1:43">
      <c r="A44" s="20">
        <f>+South_CPUE_2026!A50</f>
        <v>2000</v>
      </c>
      <c r="B44" s="19">
        <f>+South_CPUE_2026!B50</f>
        <v>6.8952159999999996</v>
      </c>
      <c r="C44" s="19">
        <f>+South_CPUE_2026!D50</f>
        <v>1.042</v>
      </c>
      <c r="D44" s="19">
        <f>+South_CPUE_2026!F50</f>
        <v>9.7861999999999991</v>
      </c>
      <c r="E44" s="19">
        <f>+South_CPUE_2026!H50</f>
        <v>466.488</v>
      </c>
      <c r="F44" s="19"/>
      <c r="G44" s="19"/>
      <c r="H44" s="19">
        <f>+South_CPUE_2026!N50</f>
        <v>1.2</v>
      </c>
      <c r="I44" s="20"/>
      <c r="J44" s="19">
        <f>+original!AO52</f>
        <v>376</v>
      </c>
      <c r="K44" s="19"/>
      <c r="L44" s="19"/>
      <c r="M44" s="20">
        <f>+South_CPUE_2026!T50</f>
        <v>0.225719883111792</v>
      </c>
      <c r="N44" s="17"/>
      <c r="O44" s="20">
        <f t="shared" si="17"/>
        <v>2000</v>
      </c>
      <c r="P44" s="15">
        <f t="shared" si="19"/>
        <v>1.0636282552457668</v>
      </c>
      <c r="Q44" s="15">
        <f t="shared" si="20"/>
        <v>0.96527611761893384</v>
      </c>
      <c r="R44" s="15">
        <f t="shared" si="14"/>
        <v>1.1350903070032146</v>
      </c>
      <c r="S44" s="15">
        <f t="shared" si="15"/>
        <v>1.0872702844507931</v>
      </c>
      <c r="T44" s="15"/>
      <c r="U44" s="15"/>
      <c r="V44" s="15">
        <f t="shared" si="16"/>
        <v>1.1947291361639825</v>
      </c>
      <c r="W44" s="20"/>
      <c r="X44" s="15">
        <f t="shared" si="13"/>
        <v>1.2411883718453838</v>
      </c>
      <c r="Y44" s="15"/>
      <c r="Z44" s="20"/>
      <c r="AA44" s="15">
        <f t="shared" si="22"/>
        <v>0.91891322738380532</v>
      </c>
      <c r="AB44"/>
      <c r="AC44"/>
      <c r="AD44"/>
      <c r="AE44"/>
      <c r="AF44"/>
      <c r="AG44" s="12"/>
      <c r="AH44" s="13"/>
      <c r="AI44" s="14"/>
      <c r="AJ44"/>
      <c r="AK44" s="14"/>
      <c r="AL44" s="14"/>
      <c r="AM44" s="14"/>
      <c r="AN44" s="6"/>
      <c r="AO44" s="7"/>
      <c r="AP44" s="7"/>
      <c r="AQ44" s="7"/>
    </row>
    <row r="45" spans="1:43">
      <c r="A45" s="20">
        <f>+South_CPUE_2026!A51</f>
        <v>2001</v>
      </c>
      <c r="B45" s="19">
        <f>+South_CPUE_2026!B51</f>
        <v>6.1723359999999996</v>
      </c>
      <c r="C45" s="19">
        <f>+South_CPUE_2026!D51</f>
        <v>0.93</v>
      </c>
      <c r="D45" s="19">
        <f>+South_CPUE_2026!F51</f>
        <v>8.4440000000000008</v>
      </c>
      <c r="E45" s="19">
        <f>+South_CPUE_2026!H51</f>
        <v>419.36700000000002</v>
      </c>
      <c r="F45" s="19"/>
      <c r="G45" s="19"/>
      <c r="H45" s="19">
        <f>+South_CPUE_2026!N51</f>
        <v>1</v>
      </c>
      <c r="I45" s="20"/>
      <c r="J45" s="19">
        <f>+original!AO53</f>
        <v>334</v>
      </c>
      <c r="K45" s="19">
        <f>+original!AQ53</f>
        <v>6.47</v>
      </c>
      <c r="L45" s="19"/>
      <c r="M45" s="20">
        <f>+South_CPUE_2026!T51</f>
        <v>0.187062237012422</v>
      </c>
      <c r="N45" s="17"/>
      <c r="O45" s="20">
        <f t="shared" si="17"/>
        <v>2001</v>
      </c>
      <c r="P45" s="15">
        <f t="shared" si="19"/>
        <v>0.95211969726120749</v>
      </c>
      <c r="Q45" s="15">
        <f t="shared" si="20"/>
        <v>0.86152283050442269</v>
      </c>
      <c r="R45" s="15">
        <f t="shared" si="14"/>
        <v>0.97941004192997738</v>
      </c>
      <c r="S45" s="15">
        <f t="shared" si="15"/>
        <v>0.977442672435895</v>
      </c>
      <c r="T45" s="15"/>
      <c r="U45" s="15"/>
      <c r="V45" s="15">
        <f t="shared" si="16"/>
        <v>0.99560761346998539</v>
      </c>
      <c r="W45" s="20"/>
      <c r="X45" s="15">
        <f t="shared" si="13"/>
        <v>1.1025449898839315</v>
      </c>
      <c r="Y45" s="15">
        <f t="shared" ref="Y45:Y56" si="23">+K45/K$2</f>
        <v>1.417564360051123</v>
      </c>
      <c r="Z45" s="20"/>
      <c r="AA45" s="15">
        <f t="shared" si="22"/>
        <v>0.76153665137946802</v>
      </c>
      <c r="AB45"/>
      <c r="AC45"/>
      <c r="AD45"/>
      <c r="AE45"/>
      <c r="AF45"/>
      <c r="AG45" s="12"/>
      <c r="AH45" s="13"/>
      <c r="AI45" s="14"/>
      <c r="AJ45"/>
      <c r="AK45" s="14"/>
      <c r="AL45" s="14"/>
      <c r="AM45" s="14"/>
      <c r="AN45" s="7"/>
      <c r="AO45" s="7"/>
      <c r="AP45" s="7"/>
      <c r="AQ45" s="7"/>
    </row>
    <row r="46" spans="1:43">
      <c r="A46" s="20">
        <f>+South_CPUE_2026!A52</f>
        <v>2002</v>
      </c>
      <c r="B46" s="19">
        <f>+South_CPUE_2026!B52</f>
        <v>4.6430639999999999</v>
      </c>
      <c r="C46" s="19">
        <f>+South_CPUE_2026!D52</f>
        <v>0.80300000000000005</v>
      </c>
      <c r="D46" s="19">
        <f>+South_CPUE_2026!F52</f>
        <v>7.9873000000000003</v>
      </c>
      <c r="E46" s="19">
        <f>+South_CPUE_2026!H52</f>
        <v>402.28899999999999</v>
      </c>
      <c r="F46" s="19"/>
      <c r="G46" s="19"/>
      <c r="H46" s="19">
        <f>+South_CPUE_2026!N52</f>
        <v>0.96</v>
      </c>
      <c r="I46" s="20"/>
      <c r="J46" s="19">
        <f>+original!AO54</f>
        <v>188</v>
      </c>
      <c r="K46" s="19">
        <f>+original!AQ54</f>
        <v>4.13</v>
      </c>
      <c r="L46" s="19"/>
      <c r="M46" s="20">
        <f>+South_CPUE_2026!T52</f>
        <v>0.192992412411777</v>
      </c>
      <c r="N46" s="17"/>
      <c r="O46" s="20">
        <f t="shared" si="17"/>
        <v>2002</v>
      </c>
      <c r="P46" s="15">
        <f t="shared" si="19"/>
        <v>0.71622035644922954</v>
      </c>
      <c r="Q46" s="15">
        <f t="shared" si="20"/>
        <v>0.74387401386564678</v>
      </c>
      <c r="R46" s="15">
        <f t="shared" si="14"/>
        <v>0.92643792372185085</v>
      </c>
      <c r="S46" s="15">
        <f t="shared" si="15"/>
        <v>0.93763800025172162</v>
      </c>
      <c r="T46" s="15"/>
      <c r="U46" s="15"/>
      <c r="V46" s="15">
        <f t="shared" si="16"/>
        <v>0.9557833089311859</v>
      </c>
      <c r="W46" s="20"/>
      <c r="X46" s="15">
        <f t="shared" si="13"/>
        <v>0.62059418592269189</v>
      </c>
      <c r="Y46" s="15">
        <f t="shared" si="23"/>
        <v>0.9048749315318606</v>
      </c>
      <c r="Z46" s="20"/>
      <c r="AA46" s="15">
        <f t="shared" si="22"/>
        <v>0.7856785946591146</v>
      </c>
      <c r="AB46"/>
      <c r="AC46"/>
      <c r="AD46"/>
      <c r="AE46"/>
      <c r="AF46"/>
      <c r="AG46" s="12"/>
      <c r="AH46" s="13"/>
      <c r="AI46" s="14"/>
      <c r="AJ46"/>
      <c r="AK46" s="14"/>
      <c r="AL46" s="14"/>
      <c r="AM46" s="14"/>
      <c r="AO46" s="7"/>
      <c r="AQ46" s="7"/>
    </row>
    <row r="47" spans="1:43">
      <c r="A47" s="20">
        <f>+South_CPUE_2026!A53</f>
        <v>2003</v>
      </c>
      <c r="B47" s="19">
        <f>+South_CPUE_2026!B53</f>
        <v>6.1821510000000002</v>
      </c>
      <c r="C47" s="19">
        <f>+South_CPUE_2026!D53</f>
        <v>1.056</v>
      </c>
      <c r="D47" s="19">
        <f>+South_CPUE_2026!F53</f>
        <v>7.3726000000000003</v>
      </c>
      <c r="E47" s="19">
        <f>+South_CPUE_2026!H53</f>
        <v>355.93099999999998</v>
      </c>
      <c r="F47" s="19"/>
      <c r="G47" s="19"/>
      <c r="H47" s="19">
        <f>+South_CPUE_2026!N53</f>
        <v>0.63</v>
      </c>
      <c r="I47" s="20"/>
      <c r="J47" s="19">
        <f>+original!AO55</f>
        <v>193</v>
      </c>
      <c r="K47" s="19">
        <f>+original!AQ55</f>
        <v>6.17</v>
      </c>
      <c r="L47" s="19"/>
      <c r="M47" s="20">
        <f>+South_CPUE_2026!T53</f>
        <v>0.17051732650038801</v>
      </c>
      <c r="N47" s="17"/>
      <c r="O47" s="20">
        <f t="shared" si="17"/>
        <v>2003</v>
      </c>
      <c r="P47" s="15">
        <f t="shared" si="19"/>
        <v>0.95363371963922117</v>
      </c>
      <c r="Q47" s="15">
        <f t="shared" si="20"/>
        <v>0.97824527850824772</v>
      </c>
      <c r="R47" s="15">
        <f t="shared" si="14"/>
        <v>0.85513956361119747</v>
      </c>
      <c r="S47" s="15">
        <f t="shared" si="15"/>
        <v>0.8295887560127061</v>
      </c>
      <c r="T47" s="15"/>
      <c r="U47" s="15"/>
      <c r="V47" s="15">
        <f t="shared" si="16"/>
        <v>0.62723279648609076</v>
      </c>
      <c r="W47" s="15"/>
      <c r="X47" s="15">
        <f t="shared" si="13"/>
        <v>0.63709935044191246</v>
      </c>
      <c r="Y47" s="15">
        <f t="shared" si="23"/>
        <v>1.3518349461383972</v>
      </c>
      <c r="Z47" s="20"/>
      <c r="AA47" s="15">
        <f t="shared" si="22"/>
        <v>0.69418176484579175</v>
      </c>
      <c r="AB47"/>
      <c r="AC47"/>
      <c r="AD47"/>
      <c r="AE47"/>
      <c r="AF47"/>
      <c r="AG47" s="12"/>
      <c r="AH47" s="13"/>
      <c r="AI47" s="14"/>
      <c r="AJ47"/>
      <c r="AK47" s="14"/>
      <c r="AL47" s="14"/>
      <c r="AM47" s="14"/>
      <c r="AN47" s="6"/>
      <c r="AO47" s="7"/>
      <c r="AQ47" s="7"/>
    </row>
    <row r="48" spans="1:43">
      <c r="A48" s="20">
        <f>+South_CPUE_2026!A54</f>
        <v>2004</v>
      </c>
      <c r="B48" s="19">
        <f>+South_CPUE_2026!B54</f>
        <v>5.494389</v>
      </c>
      <c r="C48" s="19">
        <f>+South_CPUE_2026!D54</f>
        <v>1.0169999999999999</v>
      </c>
      <c r="D48" s="19">
        <f>+South_CPUE_2026!F54</f>
        <v>7.4897999999999998</v>
      </c>
      <c r="E48" s="19">
        <f>+South_CPUE_2026!H54</f>
        <v>347.28300000000002</v>
      </c>
      <c r="F48" s="19"/>
      <c r="G48" s="19"/>
      <c r="H48" s="19">
        <f>+South_CPUE_2026!N54</f>
        <v>0.62</v>
      </c>
      <c r="I48" s="20">
        <f>+South_CPUE_2026!P54</f>
        <v>1.25</v>
      </c>
      <c r="J48" s="19">
        <f>+original!AO56</f>
        <v>312</v>
      </c>
      <c r="K48" s="19">
        <f>+original!AQ56</f>
        <v>5.22</v>
      </c>
      <c r="L48" s="19"/>
      <c r="M48" s="20">
        <f>+South_CPUE_2026!T54</f>
        <v>0.138148876372749</v>
      </c>
      <c r="N48" s="17"/>
      <c r="O48" s="20">
        <f t="shared" si="17"/>
        <v>2004</v>
      </c>
      <c r="P48" s="15">
        <f t="shared" si="19"/>
        <v>0.84754232292527643</v>
      </c>
      <c r="Q48" s="15">
        <f t="shared" si="20"/>
        <v>0.94211690174515894</v>
      </c>
      <c r="R48" s="15">
        <f t="shared" si="14"/>
        <v>0.86873345950345149</v>
      </c>
      <c r="S48" s="15">
        <f t="shared" si="15"/>
        <v>0.80943236738120772</v>
      </c>
      <c r="T48" s="15"/>
      <c r="U48" s="15"/>
      <c r="V48" s="15">
        <f t="shared" si="16"/>
        <v>0.61727672035139092</v>
      </c>
      <c r="W48" s="15">
        <f t="shared" ref="W48:W68" si="24">+I48/I$2</f>
        <v>1.2002743484224967</v>
      </c>
      <c r="X48" s="15">
        <f t="shared" si="13"/>
        <v>1.029922265999361</v>
      </c>
      <c r="Y48" s="15">
        <f t="shared" si="23"/>
        <v>1.1436918020814315</v>
      </c>
      <c r="Z48" s="20"/>
      <c r="AA48" s="15">
        <f t="shared" si="22"/>
        <v>0.56240871693282024</v>
      </c>
      <c r="AB48"/>
      <c r="AC48"/>
      <c r="AD48"/>
      <c r="AE48"/>
      <c r="AF48"/>
      <c r="AG48" s="12"/>
      <c r="AH48" s="13"/>
      <c r="AI48" s="14"/>
      <c r="AJ48"/>
      <c r="AK48" s="14"/>
      <c r="AL48"/>
      <c r="AM48" s="14"/>
      <c r="AN48" s="6"/>
      <c r="AO48" s="7"/>
      <c r="AQ48" s="7"/>
    </row>
    <row r="49" spans="1:43">
      <c r="A49" s="20">
        <f>+South_CPUE_2026!A55</f>
        <v>2005</v>
      </c>
      <c r="B49" s="19">
        <f>+South_CPUE_2026!B55</f>
        <v>5.4619790000000004</v>
      </c>
      <c r="C49" s="19">
        <f>+South_CPUE_2026!D55</f>
        <v>1.145</v>
      </c>
      <c r="D49" s="19">
        <f>+South_CPUE_2026!F55</f>
        <v>8.9107000000000003</v>
      </c>
      <c r="E49" s="19">
        <f>+South_CPUE_2026!H55</f>
        <v>422.90499999999997</v>
      </c>
      <c r="F49" s="19"/>
      <c r="G49" s="19"/>
      <c r="H49" s="19">
        <f>+South_CPUE_2026!N55</f>
        <v>0.74</v>
      </c>
      <c r="I49" s="20">
        <f>+South_CPUE_2026!P55</f>
        <v>1.95</v>
      </c>
      <c r="J49" s="19">
        <f>+original!AO57</f>
        <v>250</v>
      </c>
      <c r="K49" s="19">
        <f>+original!AQ57</f>
        <v>5.21</v>
      </c>
      <c r="L49" s="19"/>
      <c r="M49" s="20">
        <f>+South_CPUE_2026!T55</f>
        <v>0.136326258637188</v>
      </c>
      <c r="N49" s="17"/>
      <c r="O49" s="20">
        <f t="shared" si="17"/>
        <v>2005</v>
      </c>
      <c r="P49" s="15">
        <f t="shared" si="19"/>
        <v>0.84254288683037892</v>
      </c>
      <c r="Q49" s="15">
        <f t="shared" si="20"/>
        <v>1.0606920870188861</v>
      </c>
      <c r="R49" s="15">
        <f t="shared" si="14"/>
        <v>1.033542048866112</v>
      </c>
      <c r="S49" s="15">
        <f t="shared" si="15"/>
        <v>0.98568889155918837</v>
      </c>
      <c r="T49" s="15"/>
      <c r="U49" s="15"/>
      <c r="V49" s="15">
        <f t="shared" si="16"/>
        <v>0.73674963396778914</v>
      </c>
      <c r="W49" s="15">
        <f t="shared" si="24"/>
        <v>1.8724279835390947</v>
      </c>
      <c r="X49" s="15">
        <f t="shared" si="13"/>
        <v>0.82525822596102649</v>
      </c>
      <c r="Y49" s="15">
        <f t="shared" si="23"/>
        <v>1.1415008216176741</v>
      </c>
      <c r="Z49" s="20"/>
      <c r="AA49" s="15">
        <f t="shared" si="22"/>
        <v>0.5549887788990856</v>
      </c>
      <c r="AB49"/>
      <c r="AC49"/>
      <c r="AD49"/>
      <c r="AE49"/>
      <c r="AF49"/>
      <c r="AG49" s="12"/>
      <c r="AH49" s="13"/>
      <c r="AI49" s="14"/>
      <c r="AJ49"/>
      <c r="AK49" s="14"/>
      <c r="AL49" s="14"/>
      <c r="AM49" s="14"/>
      <c r="AN49" s="6"/>
      <c r="AO49" s="7"/>
      <c r="AQ49" s="7"/>
    </row>
    <row r="50" spans="1:43">
      <c r="A50" s="20">
        <f>+South_CPUE_2026!A56</f>
        <v>2006</v>
      </c>
      <c r="B50" s="19">
        <f>+South_CPUE_2026!B56</f>
        <v>7.6629709999999998</v>
      </c>
      <c r="C50" s="19">
        <f>+South_CPUE_2026!D56</f>
        <v>1.161</v>
      </c>
      <c r="D50" s="19">
        <f>+South_CPUE_2026!F56</f>
        <v>8.8582999999999998</v>
      </c>
      <c r="E50" s="19">
        <f>+South_CPUE_2026!H56</f>
        <v>422.565</v>
      </c>
      <c r="F50" s="19"/>
      <c r="G50" s="19"/>
      <c r="H50" s="19">
        <f>+South_CPUE_2026!N56</f>
        <v>1.3</v>
      </c>
      <c r="I50" s="20">
        <f>+South_CPUE_2026!P56</f>
        <v>1.49</v>
      </c>
      <c r="J50" s="19">
        <f>+original!AO58</f>
        <v>303</v>
      </c>
      <c r="K50" s="19">
        <f>+original!AQ58</f>
        <v>5.5</v>
      </c>
      <c r="L50" s="19"/>
      <c r="M50" s="20">
        <f>+South_CPUE_2026!T56</f>
        <v>0.31501877223580799</v>
      </c>
      <c r="N50" s="17"/>
      <c r="O50" s="20">
        <f t="shared" si="17"/>
        <v>2006</v>
      </c>
      <c r="P50" s="15">
        <f t="shared" si="19"/>
        <v>1.1820590500325019</v>
      </c>
      <c r="Q50" s="15">
        <f t="shared" si="20"/>
        <v>1.0755139851781019</v>
      </c>
      <c r="R50" s="15">
        <f t="shared" si="14"/>
        <v>1.0274642319313498</v>
      </c>
      <c r="S50" s="15">
        <f t="shared" si="15"/>
        <v>0.98489643409680294</v>
      </c>
      <c r="T50" s="15"/>
      <c r="U50" s="15"/>
      <c r="V50" s="15">
        <f t="shared" si="16"/>
        <v>1.2942898975109811</v>
      </c>
      <c r="W50" s="15">
        <f t="shared" si="24"/>
        <v>1.4307270233196159</v>
      </c>
      <c r="X50" s="15">
        <f t="shared" si="13"/>
        <v>1.0002129698647642</v>
      </c>
      <c r="Y50" s="15">
        <f t="shared" si="23"/>
        <v>1.2050392550666424</v>
      </c>
      <c r="Z50" s="20"/>
      <c r="AA50" s="15">
        <f t="shared" si="22"/>
        <v>1.282452005073573</v>
      </c>
      <c r="AB50"/>
      <c r="AC50"/>
      <c r="AD50"/>
      <c r="AE50"/>
      <c r="AF50"/>
      <c r="AG50" s="12"/>
      <c r="AH50" s="13"/>
      <c r="AI50" s="14"/>
      <c r="AJ50"/>
      <c r="AK50" s="14"/>
      <c r="AL50" s="14"/>
      <c r="AM50" s="14"/>
      <c r="AN50" s="6"/>
      <c r="AO50" s="7"/>
      <c r="AQ50" s="7"/>
    </row>
    <row r="51" spans="1:43">
      <c r="A51" s="20">
        <f>+South_CPUE_2026!A57</f>
        <v>2007</v>
      </c>
      <c r="B51" s="19">
        <f>+South_CPUE_2026!B57</f>
        <v>8.0987469999999995</v>
      </c>
      <c r="C51" s="19">
        <f>+South_CPUE_2026!D57</f>
        <v>1.304</v>
      </c>
      <c r="D51" s="19">
        <f>+South_CPUE_2026!F57</f>
        <v>8.6100999999999992</v>
      </c>
      <c r="E51" s="19">
        <f>+South_CPUE_2026!H57</f>
        <v>414.29500000000002</v>
      </c>
      <c r="F51" s="19"/>
      <c r="G51" s="19"/>
      <c r="H51" s="19">
        <f>+South_CPUE_2026!N57</f>
        <v>1</v>
      </c>
      <c r="I51" s="20">
        <f>+South_CPUE_2026!P57</f>
        <v>1.36</v>
      </c>
      <c r="J51" s="19">
        <f>+original!AO59</f>
        <v>284</v>
      </c>
      <c r="K51" s="19">
        <f>+original!AQ59</f>
        <v>4.96</v>
      </c>
      <c r="L51" s="19"/>
      <c r="M51" s="20">
        <f>+South_CPUE_2026!T57</f>
        <v>0.21815637667617199</v>
      </c>
      <c r="N51" s="17"/>
      <c r="O51" s="20">
        <f t="shared" si="17"/>
        <v>2007</v>
      </c>
      <c r="P51" s="15">
        <f t="shared" si="19"/>
        <v>1.2492801010565713</v>
      </c>
      <c r="Q51" s="15">
        <f t="shared" si="20"/>
        <v>1.2079846999760937</v>
      </c>
      <c r="R51" s="15">
        <f t="shared" si="14"/>
        <v>0.99867579370219051</v>
      </c>
      <c r="S51" s="15">
        <f t="shared" si="15"/>
        <v>0.96562107170289779</v>
      </c>
      <c r="T51" s="15"/>
      <c r="U51" s="15"/>
      <c r="V51" s="15">
        <f t="shared" si="16"/>
        <v>0.99560761346998539</v>
      </c>
      <c r="W51" s="15">
        <f t="shared" si="24"/>
        <v>1.3058984910836764</v>
      </c>
      <c r="X51" s="15">
        <f t="shared" si="13"/>
        <v>0.93749334469172607</v>
      </c>
      <c r="Y51" s="15">
        <f t="shared" si="23"/>
        <v>1.0867263100237357</v>
      </c>
      <c r="Z51" s="20"/>
      <c r="AA51" s="15">
        <f t="shared" si="22"/>
        <v>0.88812193858249244</v>
      </c>
      <c r="AB51"/>
      <c r="AC51"/>
      <c r="AD51"/>
      <c r="AE51"/>
      <c r="AF51"/>
      <c r="AG51" s="12"/>
      <c r="AH51" s="13"/>
      <c r="AI51" s="14"/>
      <c r="AJ51"/>
      <c r="AK51" s="14"/>
      <c r="AL51" s="14"/>
      <c r="AM51" s="14"/>
      <c r="AN51" s="6"/>
      <c r="AO51" s="7"/>
      <c r="AP51" s="7"/>
      <c r="AQ51" s="7"/>
    </row>
    <row r="52" spans="1:43">
      <c r="A52" s="20">
        <f>+South_CPUE_2026!A58</f>
        <v>2008</v>
      </c>
      <c r="B52" s="19">
        <f>+South_CPUE_2026!B58</f>
        <v>8.2574240000000003</v>
      </c>
      <c r="C52" s="19">
        <f>+South_CPUE_2026!D58</f>
        <v>1.206</v>
      </c>
      <c r="D52" s="19">
        <f>+South_CPUE_2026!F58</f>
        <v>8.1821000000000002</v>
      </c>
      <c r="E52" s="19">
        <f>+South_CPUE_2026!H58</f>
        <v>402.00099999999998</v>
      </c>
      <c r="F52" s="19"/>
      <c r="G52" s="19"/>
      <c r="H52" s="19">
        <f>+South_CPUE_2026!N58</f>
        <v>0.82</v>
      </c>
      <c r="I52" s="20">
        <f>+South_CPUE_2026!P58</f>
        <v>0.92</v>
      </c>
      <c r="J52" s="19">
        <f>+original!AO60</f>
        <v>177</v>
      </c>
      <c r="K52" s="19">
        <f>+original!AQ60</f>
        <v>3.23</v>
      </c>
      <c r="L52" s="19"/>
      <c r="M52" s="20">
        <f>+South_CPUE_2026!T58</f>
        <v>0.29318321004556203</v>
      </c>
      <c r="N52" s="17"/>
      <c r="O52" s="20">
        <f t="shared" si="17"/>
        <v>2008</v>
      </c>
      <c r="P52" s="15">
        <f t="shared" si="19"/>
        <v>1.2737569761330929</v>
      </c>
      <c r="Q52" s="15">
        <f t="shared" si="20"/>
        <v>1.1172005737508965</v>
      </c>
      <c r="R52" s="15">
        <f t="shared" si="14"/>
        <v>0.94903255614344717</v>
      </c>
      <c r="S52" s="15">
        <f t="shared" si="15"/>
        <v>0.93696674216593623</v>
      </c>
      <c r="T52" s="15"/>
      <c r="U52" s="15"/>
      <c r="V52" s="15">
        <f t="shared" si="16"/>
        <v>0.81639824304538799</v>
      </c>
      <c r="W52" s="15">
        <f t="shared" si="24"/>
        <v>0.8834019204389576</v>
      </c>
      <c r="X52" s="15">
        <f t="shared" si="13"/>
        <v>0.58428282398040676</v>
      </c>
      <c r="Y52" s="15">
        <f t="shared" si="23"/>
        <v>0.70768668979368277</v>
      </c>
      <c r="Z52" s="20"/>
      <c r="AA52" s="15">
        <f t="shared" si="21"/>
        <v>1.1935586978143222</v>
      </c>
      <c r="AB52"/>
      <c r="AC52"/>
      <c r="AD52"/>
      <c r="AE52"/>
      <c r="AF52"/>
      <c r="AG52" s="12"/>
      <c r="AH52" s="13"/>
      <c r="AI52" s="14"/>
      <c r="AJ52"/>
      <c r="AK52" s="14"/>
      <c r="AL52" s="14"/>
      <c r="AM52" s="14"/>
      <c r="AN52" s="6"/>
      <c r="AO52" s="7"/>
      <c r="AP52" s="7"/>
      <c r="AQ52" s="7"/>
    </row>
    <row r="53" spans="1:43">
      <c r="A53" s="20">
        <f>+South_CPUE_2026!A59</f>
        <v>2009</v>
      </c>
      <c r="B53" s="19">
        <f>+South_CPUE_2026!B59</f>
        <v>6.7138989999999996</v>
      </c>
      <c r="C53" s="19">
        <f>+South_CPUE_2026!D59</f>
        <v>1.0589999999999999</v>
      </c>
      <c r="D53" s="19">
        <f>+South_CPUE_2026!F59</f>
        <v>8.9045000000000005</v>
      </c>
      <c r="E53" s="19">
        <f>+South_CPUE_2026!H59</f>
        <v>442.35500000000002</v>
      </c>
      <c r="F53" s="19"/>
      <c r="G53" s="19"/>
      <c r="H53" s="19">
        <f>+South_CPUE_2026!N59</f>
        <v>0.64</v>
      </c>
      <c r="I53" s="20">
        <f>+South_CPUE_2026!P59</f>
        <v>0.85</v>
      </c>
      <c r="J53" s="19">
        <f>+original!AO61</f>
        <v>210</v>
      </c>
      <c r="K53" s="19">
        <f>+original!AQ61</f>
        <v>3.51</v>
      </c>
      <c r="L53" s="19"/>
      <c r="M53" s="20">
        <f>+South_CPUE_2026!T59</f>
        <v>0.222037955458778</v>
      </c>
      <c r="N53" s="17"/>
      <c r="O53" s="20">
        <f t="shared" si="17"/>
        <v>2009</v>
      </c>
      <c r="P53" s="15">
        <f t="shared" si="19"/>
        <v>1.0356590249335622</v>
      </c>
      <c r="Q53" s="15">
        <f t="shared" si="20"/>
        <v>0.98102438441310058</v>
      </c>
      <c r="R53" s="15">
        <f t="shared" si="14"/>
        <v>1.032822917854747</v>
      </c>
      <c r="S53" s="15">
        <f t="shared" si="15"/>
        <v>1.0310221199221214</v>
      </c>
      <c r="T53" s="15"/>
      <c r="U53" s="15"/>
      <c r="V53" s="15">
        <f t="shared" si="16"/>
        <v>0.6371888726207906</v>
      </c>
      <c r="W53" s="15">
        <f t="shared" si="24"/>
        <v>0.81618655692729769</v>
      </c>
      <c r="X53" s="15">
        <f t="shared" si="13"/>
        <v>0.69321690980726225</v>
      </c>
      <c r="Y53" s="15">
        <f t="shared" si="23"/>
        <v>0.76903414277889359</v>
      </c>
      <c r="Z53" s="20"/>
      <c r="AA53" s="15">
        <f t="shared" si="21"/>
        <v>0.90392397621115117</v>
      </c>
      <c r="AB53"/>
      <c r="AC53"/>
      <c r="AD53"/>
      <c r="AE53"/>
      <c r="AF53"/>
      <c r="AG53" s="12"/>
      <c r="AH53" s="13"/>
      <c r="AI53" s="14"/>
      <c r="AJ53"/>
      <c r="AK53" s="14"/>
      <c r="AL53" s="14"/>
      <c r="AM53" s="14"/>
      <c r="AN53" s="6"/>
      <c r="AO53" s="7"/>
      <c r="AP53" s="7"/>
      <c r="AQ53" s="7"/>
    </row>
    <row r="54" spans="1:43">
      <c r="A54" s="20">
        <f>+South_CPUE_2026!A60</f>
        <v>2010</v>
      </c>
      <c r="B54" s="19">
        <f>+South_CPUE_2026!B60</f>
        <v>5.5972059999999999</v>
      </c>
      <c r="C54" s="19">
        <f>+South_CPUE_2026!D60</f>
        <v>1.1419999999999999</v>
      </c>
      <c r="D54" s="19">
        <f>+South_CPUE_2026!F60</f>
        <v>9.0088000000000008</v>
      </c>
      <c r="E54" s="19">
        <f>+South_CPUE_2026!H60</f>
        <v>432.81900000000002</v>
      </c>
      <c r="F54" s="19"/>
      <c r="G54" s="19"/>
      <c r="H54" s="19">
        <f>+South_CPUE_2026!N60</f>
        <v>0.84</v>
      </c>
      <c r="I54" s="20">
        <f>+South_CPUE_2026!P60</f>
        <v>1.27</v>
      </c>
      <c r="J54" s="19">
        <f>+original!AO62</f>
        <v>206</v>
      </c>
      <c r="K54" s="19">
        <f>+original!AQ62</f>
        <v>3.29</v>
      </c>
      <c r="L54" s="19"/>
      <c r="M54" s="20">
        <f>+South_CPUE_2026!T60</f>
        <v>0.154491335521873</v>
      </c>
      <c r="N54" s="17"/>
      <c r="O54" s="20">
        <f t="shared" si="17"/>
        <v>2010</v>
      </c>
      <c r="P54" s="15">
        <f t="shared" si="19"/>
        <v>0.86340245933283843</v>
      </c>
      <c r="Q54" s="15">
        <f t="shared" si="20"/>
        <v>1.0579129811140329</v>
      </c>
      <c r="R54" s="15">
        <f t="shared" si="14"/>
        <v>1.0449205572878708</v>
      </c>
      <c r="S54" s="15">
        <f t="shared" si="15"/>
        <v>1.0087960188594516</v>
      </c>
      <c r="T54" s="15"/>
      <c r="U54" s="15"/>
      <c r="V54" s="15">
        <f t="shared" si="16"/>
        <v>0.83631039531478768</v>
      </c>
      <c r="W54" s="15">
        <f t="shared" si="24"/>
        <v>1.2194787379972567</v>
      </c>
      <c r="X54" s="15">
        <f t="shared" si="13"/>
        <v>0.68001277819188588</v>
      </c>
      <c r="Y54" s="15">
        <f t="shared" si="23"/>
        <v>0.72083257257622801</v>
      </c>
      <c r="Z54" s="20"/>
      <c r="AA54" s="15">
        <f t="shared" si="21"/>
        <v>0.62893941716657831</v>
      </c>
      <c r="AB54"/>
      <c r="AC54"/>
      <c r="AD54"/>
      <c r="AE54"/>
      <c r="AF54"/>
      <c r="AG54" s="12"/>
      <c r="AH54" s="13"/>
      <c r="AI54" s="14"/>
      <c r="AJ54"/>
      <c r="AK54" s="14"/>
      <c r="AL54" s="14"/>
      <c r="AM54" s="14"/>
      <c r="AN54" s="6"/>
      <c r="AO54" s="7"/>
      <c r="AP54" s="7"/>
      <c r="AQ54" s="7"/>
    </row>
    <row r="55" spans="1:43">
      <c r="A55" s="20">
        <f>+South_CPUE_2026!A61</f>
        <v>2011</v>
      </c>
      <c r="B55" s="19">
        <f>+South_CPUE_2026!B61</f>
        <v>4.7201839999999997</v>
      </c>
      <c r="C55" s="19">
        <f>+South_CPUE_2026!D61</f>
        <v>1.073</v>
      </c>
      <c r="D55" s="19">
        <f>+South_CPUE_2026!F61</f>
        <v>8.6811000000000007</v>
      </c>
      <c r="E55" s="19">
        <f>+South_CPUE_2026!H61</f>
        <v>419.6</v>
      </c>
      <c r="F55" s="19"/>
      <c r="G55" s="19"/>
      <c r="H55" s="19">
        <f>+South_CPUE_2026!N61</f>
        <v>0.57999999999999996</v>
      </c>
      <c r="I55" s="20">
        <f>+South_CPUE_2026!P61</f>
        <v>0.61</v>
      </c>
      <c r="J55" s="19">
        <f>+original!AO63</f>
        <v>91</v>
      </c>
      <c r="K55" s="19">
        <f>+original!AQ63</f>
        <v>2</v>
      </c>
      <c r="L55" s="19"/>
      <c r="M55" s="20">
        <f>+South_CPUE_2026!T61</f>
        <v>0.15193976195143399</v>
      </c>
      <c r="N55" s="17"/>
      <c r="O55" s="20">
        <f t="shared" si="17"/>
        <v>2011</v>
      </c>
      <c r="P55" s="15">
        <f t="shared" si="19"/>
        <v>0.72811657711070743</v>
      </c>
      <c r="Q55" s="15">
        <f t="shared" si="20"/>
        <v>0.99399354530241457</v>
      </c>
      <c r="R55" s="15">
        <f t="shared" si="14"/>
        <v>1.0069110036710478</v>
      </c>
      <c r="S55" s="15">
        <f t="shared" si="15"/>
        <v>0.97798573887335327</v>
      </c>
      <c r="T55" s="15"/>
      <c r="U55" s="15"/>
      <c r="V55" s="15">
        <f t="shared" si="16"/>
        <v>0.57745241581259144</v>
      </c>
      <c r="W55" s="15">
        <f t="shared" si="24"/>
        <v>0.5857338820301784</v>
      </c>
      <c r="X55" s="15">
        <f t="shared" si="13"/>
        <v>0.30039399424981367</v>
      </c>
      <c r="Y55" s="15">
        <f t="shared" si="23"/>
        <v>0.43819609275150634</v>
      </c>
      <c r="Z55" s="20"/>
      <c r="AA55" s="15">
        <f t="shared" si="21"/>
        <v>0.61855187543921486</v>
      </c>
      <c r="AJ55" s="3"/>
      <c r="AK55" s="6"/>
      <c r="AM55" s="6"/>
      <c r="AN55" s="6"/>
      <c r="AO55" s="7"/>
      <c r="AP55" s="7"/>
      <c r="AQ55" s="7"/>
    </row>
    <row r="56" spans="1:43">
      <c r="A56" s="20">
        <f>+South_CPUE_2026!A62</f>
        <v>2012</v>
      </c>
      <c r="B56" s="19">
        <f>+South_CPUE_2026!B62</f>
        <v>5.1592269999999996</v>
      </c>
      <c r="C56" s="19">
        <f>+South_CPUE_2026!D62</f>
        <v>1.1040000000000001</v>
      </c>
      <c r="D56" s="19">
        <f>+South_CPUE_2026!F62</f>
        <v>9.2303999999999995</v>
      </c>
      <c r="E56" s="19">
        <f>+South_CPUE_2026!H62</f>
        <v>446.983</v>
      </c>
      <c r="F56" s="19"/>
      <c r="G56" s="19"/>
      <c r="H56" s="19">
        <f>+South_CPUE_2026!N62</f>
        <v>0.67</v>
      </c>
      <c r="I56" s="20">
        <f>+South_CPUE_2026!P62</f>
        <v>0.54</v>
      </c>
      <c r="J56" s="19">
        <f>+original!AO64</f>
        <v>121</v>
      </c>
      <c r="K56" s="19">
        <f>+original!AQ64</f>
        <v>5.08</v>
      </c>
      <c r="L56" s="19"/>
      <c r="M56" s="20">
        <f>+South_CPUE_2026!T62</f>
        <v>0.16068141182922899</v>
      </c>
      <c r="N56" s="17"/>
      <c r="O56" s="20">
        <f t="shared" si="17"/>
        <v>2012</v>
      </c>
      <c r="P56" s="15">
        <f t="shared" si="19"/>
        <v>0.79584158239957248</v>
      </c>
      <c r="Q56" s="15">
        <f t="shared" si="20"/>
        <v>1.0227109729858954</v>
      </c>
      <c r="R56" s="15">
        <f t="shared" si="14"/>
        <v>1.0706236915005285</v>
      </c>
      <c r="S56" s="15">
        <f t="shared" si="15"/>
        <v>1.0418088644395331</v>
      </c>
      <c r="T56" s="15"/>
      <c r="U56" s="15"/>
      <c r="V56" s="15">
        <f t="shared" si="16"/>
        <v>0.66705710102489024</v>
      </c>
      <c r="W56" s="15">
        <f t="shared" si="24"/>
        <v>0.5185185185185186</v>
      </c>
      <c r="X56" s="15">
        <f t="shared" si="13"/>
        <v>0.39942498136513682</v>
      </c>
      <c r="Y56" s="15">
        <f t="shared" si="23"/>
        <v>1.1130180755888262</v>
      </c>
      <c r="Z56" s="20"/>
      <c r="AA56" s="15">
        <f t="shared" si="21"/>
        <v>0.65413942577427087</v>
      </c>
      <c r="AJ56" s="3"/>
      <c r="AK56" s="6"/>
      <c r="AM56" s="6"/>
      <c r="AN56" s="6"/>
      <c r="AO56" s="7"/>
      <c r="AP56" s="7"/>
      <c r="AQ56" s="7"/>
    </row>
    <row r="57" spans="1:43">
      <c r="A57" s="20">
        <f>+South_CPUE_2026!A63</f>
        <v>2013</v>
      </c>
      <c r="B57" s="19">
        <f>+South_CPUE_2026!B63</f>
        <v>6.5476000000000001</v>
      </c>
      <c r="C57" s="19">
        <f>+South_CPUE_2026!D63</f>
        <v>1.2689999999999999</v>
      </c>
      <c r="D57" s="19">
        <f>+South_CPUE_2026!F63</f>
        <v>9.0305</v>
      </c>
      <c r="E57" s="19">
        <f>+South_CPUE_2026!H63</f>
        <v>447.61700000000002</v>
      </c>
      <c r="F57" s="19"/>
      <c r="G57" s="19"/>
      <c r="H57" s="19">
        <f>+South_CPUE_2026!N63</f>
        <v>0.75</v>
      </c>
      <c r="I57" s="20">
        <f>+South_CPUE_2026!P63</f>
        <v>0.88</v>
      </c>
      <c r="J57" s="19"/>
      <c r="K57" s="19"/>
      <c r="L57" s="19"/>
      <c r="M57" s="20">
        <f>+South_CPUE_2026!T63</f>
        <v>0.22246191958877401</v>
      </c>
      <c r="N57" s="17"/>
      <c r="O57" s="20">
        <f t="shared" si="17"/>
        <v>2013</v>
      </c>
      <c r="P57" s="15">
        <f t="shared" si="19"/>
        <v>1.0100064108284907</v>
      </c>
      <c r="Q57" s="15">
        <f t="shared" si="20"/>
        <v>1.175561797752809</v>
      </c>
      <c r="R57" s="15">
        <f t="shared" si="14"/>
        <v>1.0474375158276481</v>
      </c>
      <c r="S57" s="15">
        <f t="shared" si="15"/>
        <v>1.0432865645311578</v>
      </c>
      <c r="T57" s="15"/>
      <c r="U57" s="15"/>
      <c r="V57" s="15">
        <f t="shared" si="16"/>
        <v>0.74670571010248898</v>
      </c>
      <c r="W57" s="15">
        <f t="shared" si="24"/>
        <v>0.84499314128943759</v>
      </c>
      <c r="X57" s="20"/>
      <c r="Y57" s="20"/>
      <c r="Z57" s="20"/>
      <c r="AA57" s="15">
        <f t="shared" si="21"/>
        <v>0.90564994842777091</v>
      </c>
      <c r="AJ57" s="3"/>
      <c r="AK57" s="6"/>
      <c r="AM57" s="6"/>
      <c r="AN57" s="6"/>
      <c r="AO57" s="7"/>
      <c r="AP57" s="7"/>
      <c r="AQ57" s="7"/>
    </row>
    <row r="58" spans="1:43">
      <c r="A58" s="20">
        <f>+South_CPUE_2026!A64</f>
        <v>2014</v>
      </c>
      <c r="B58" s="19">
        <f>+South_CPUE_2026!B64</f>
        <v>5.2539300000000004</v>
      </c>
      <c r="C58" s="19">
        <f>+South_CPUE_2026!D64</f>
        <v>1.304</v>
      </c>
      <c r="D58" s="19">
        <f>+South_CPUE_2026!F64</f>
        <v>9.1165000000000003</v>
      </c>
      <c r="E58" s="19">
        <f>+South_CPUE_2026!H64</f>
        <v>472.35300000000001</v>
      </c>
      <c r="F58" s="19"/>
      <c r="G58" s="19"/>
      <c r="H58" s="19">
        <f>+South_CPUE_2026!N64</f>
        <v>0.84</v>
      </c>
      <c r="I58" s="20">
        <f>+South_CPUE_2026!P64</f>
        <v>0.83</v>
      </c>
      <c r="J58" s="19"/>
      <c r="K58" s="19"/>
      <c r="L58" s="19"/>
      <c r="M58" s="20">
        <f>+South_CPUE_2026!T64</f>
        <v>0.16892338374146501</v>
      </c>
      <c r="N58" s="17"/>
      <c r="O58" s="20">
        <f t="shared" si="17"/>
        <v>2014</v>
      </c>
      <c r="P58" s="15">
        <f t="shared" si="19"/>
        <v>0.81045008583971723</v>
      </c>
      <c r="Q58" s="15">
        <f t="shared" si="20"/>
        <v>1.2079846999760937</v>
      </c>
      <c r="R58" s="15">
        <f t="shared" si="14"/>
        <v>1.057412558888517</v>
      </c>
      <c r="S58" s="15">
        <f t="shared" si="15"/>
        <v>1.1009401756769424</v>
      </c>
      <c r="T58" s="15"/>
      <c r="U58" s="15"/>
      <c r="V58" s="15">
        <f t="shared" si="16"/>
        <v>0.83631039531478768</v>
      </c>
      <c r="W58" s="15">
        <f t="shared" si="24"/>
        <v>0.79698216735253768</v>
      </c>
      <c r="X58" s="20"/>
      <c r="Y58" s="20"/>
      <c r="Z58" s="20"/>
      <c r="AA58" s="15">
        <f t="shared" si="21"/>
        <v>0.68769277032446485</v>
      </c>
      <c r="AJ58" s="3"/>
      <c r="AK58" s="6"/>
      <c r="AM58" s="6"/>
      <c r="AN58" s="6"/>
      <c r="AO58" s="7"/>
      <c r="AP58" s="7"/>
      <c r="AQ58" s="7"/>
    </row>
    <row r="59" spans="1:43">
      <c r="A59" s="20">
        <f>+South_CPUE_2026!A65</f>
        <v>2015</v>
      </c>
      <c r="B59" s="19">
        <f>+South_CPUE_2026!B65</f>
        <v>6.143891</v>
      </c>
      <c r="C59" s="19">
        <f>+South_CPUE_2026!D65</f>
        <v>1.3560000000000001</v>
      </c>
      <c r="D59" s="19">
        <f>+South_CPUE_2026!F65</f>
        <v>9.9362999999999992</v>
      </c>
      <c r="E59" s="19">
        <f>+South_CPUE_2026!H65</f>
        <v>506.86399999999998</v>
      </c>
      <c r="F59" s="19"/>
      <c r="G59" s="19"/>
      <c r="H59" s="19">
        <f>+South_CPUE_2026!N65</f>
        <v>1.1000000000000001</v>
      </c>
      <c r="I59" s="20">
        <f>+South_CPUE_2026!P65</f>
        <v>1.01</v>
      </c>
      <c r="J59" s="19"/>
      <c r="K59" s="19"/>
      <c r="L59" s="19"/>
      <c r="M59" s="20">
        <f>+South_CPUE_2026!T65</f>
        <v>0.20969281323614999</v>
      </c>
      <c r="N59" s="17"/>
      <c r="O59" s="20">
        <f t="shared" si="17"/>
        <v>2015</v>
      </c>
      <c r="P59" s="15">
        <f t="shared" si="19"/>
        <v>0.94773188610047443</v>
      </c>
      <c r="Q59" s="15">
        <f t="shared" si="20"/>
        <v>1.2561558689935455</v>
      </c>
      <c r="R59" s="15">
        <f t="shared" si="14"/>
        <v>1.152500236810615</v>
      </c>
      <c r="S59" s="15">
        <f t="shared" si="15"/>
        <v>1.1813769388663091</v>
      </c>
      <c r="T59" s="15"/>
      <c r="U59" s="15"/>
      <c r="V59" s="15">
        <f t="shared" si="16"/>
        <v>1.095168374816984</v>
      </c>
      <c r="W59" s="15">
        <f t="shared" si="24"/>
        <v>0.96982167352537729</v>
      </c>
      <c r="X59" s="20"/>
      <c r="Y59" s="20"/>
      <c r="Z59" s="20"/>
      <c r="AA59" s="15">
        <f t="shared" si="21"/>
        <v>0.85366648747814133</v>
      </c>
      <c r="AJ59" s="3"/>
      <c r="AK59" s="6"/>
      <c r="AM59" s="6"/>
      <c r="AN59" s="6"/>
      <c r="AO59" s="7"/>
      <c r="AP59" s="7"/>
      <c r="AQ59" s="7"/>
    </row>
    <row r="60" spans="1:43">
      <c r="A60" s="20">
        <f>+South_CPUE_2026!A66</f>
        <v>2016</v>
      </c>
      <c r="B60" s="19">
        <f>+South_CPUE_2026!B66</f>
        <v>5.6238919999999997</v>
      </c>
      <c r="C60" s="19">
        <f>+South_CPUE_2026!D66</f>
        <v>1.244</v>
      </c>
      <c r="D60" s="19">
        <f>+South_CPUE_2026!F66</f>
        <v>10.5943</v>
      </c>
      <c r="E60" s="19">
        <f>+South_CPUE_2026!H66</f>
        <v>552.69200000000001</v>
      </c>
      <c r="F60" s="19"/>
      <c r="G60" s="19"/>
      <c r="H60" s="19">
        <f>+South_CPUE_2026!N66</f>
        <v>0.99</v>
      </c>
      <c r="I60" s="20">
        <f>+South_CPUE_2026!P66</f>
        <v>1.1100000000000001</v>
      </c>
      <c r="J60" s="19"/>
      <c r="K60" s="19"/>
      <c r="L60" s="19"/>
      <c r="M60" s="20">
        <f>+South_CPUE_2026!T66</f>
        <v>0.211284429560672</v>
      </c>
      <c r="N60" s="15"/>
      <c r="O60" s="20">
        <f t="shared" si="17"/>
        <v>2016</v>
      </c>
      <c r="P60" s="15">
        <f t="shared" si="19"/>
        <v>0.8675189342365236</v>
      </c>
      <c r="Q60" s="15">
        <f t="shared" si="20"/>
        <v>1.1524025818790342</v>
      </c>
      <c r="R60" s="15">
        <f t="shared" si="14"/>
        <v>1.2288209151135432</v>
      </c>
      <c r="S60" s="15">
        <f t="shared" si="15"/>
        <v>1.2881908817669003</v>
      </c>
      <c r="T60" s="15"/>
      <c r="U60" s="15"/>
      <c r="V60" s="15">
        <f t="shared" si="16"/>
        <v>0.98565153733528554</v>
      </c>
      <c r="W60" s="15">
        <f t="shared" si="24"/>
        <v>1.0658436213991771</v>
      </c>
      <c r="X60" s="20"/>
      <c r="Y60" s="20"/>
      <c r="Z60" s="20"/>
      <c r="AA60" s="15">
        <f t="shared" si="21"/>
        <v>0.8601460110068635</v>
      </c>
      <c r="AJ60" s="3"/>
      <c r="AK60" s="6"/>
      <c r="AM60" s="6"/>
      <c r="AN60" s="6"/>
      <c r="AO60" s="7"/>
      <c r="AP60" s="7"/>
      <c r="AQ60" s="7"/>
    </row>
    <row r="61" spans="1:43">
      <c r="A61" s="20">
        <f>+South_CPUE_2026!A67</f>
        <v>2017</v>
      </c>
      <c r="B61" s="19">
        <f>+South_CPUE_2026!B67</f>
        <v>5.2499650000000004</v>
      </c>
      <c r="C61" s="19">
        <f>+South_CPUE_2026!D67</f>
        <v>1.173</v>
      </c>
      <c r="D61" s="19">
        <f>+South_CPUE_2026!F67</f>
        <v>10.4672</v>
      </c>
      <c r="E61" s="19">
        <f>+South_CPUE_2026!H67</f>
        <v>543.91999999999996</v>
      </c>
      <c r="F61" s="19"/>
      <c r="G61" s="19"/>
      <c r="H61" s="19">
        <f>+South_CPUE_2026!N67</f>
        <v>0.92</v>
      </c>
      <c r="I61" s="20">
        <f>+South_CPUE_2026!P67</f>
        <v>0.9</v>
      </c>
      <c r="J61" s="19"/>
      <c r="K61" s="19"/>
      <c r="L61" s="19"/>
      <c r="M61" s="20">
        <f>+South_CPUE_2026!T67</f>
        <v>0.18151495483112501</v>
      </c>
      <c r="N61" s="21"/>
      <c r="O61" s="20">
        <f t="shared" si="17"/>
        <v>2017</v>
      </c>
      <c r="P61" s="15">
        <f t="shared" si="19"/>
        <v>0.80983846090555278</v>
      </c>
      <c r="Q61" s="15">
        <f t="shared" si="20"/>
        <v>1.0866304087975138</v>
      </c>
      <c r="R61" s="15">
        <f t="shared" si="14"/>
        <v>1.2140787293805613</v>
      </c>
      <c r="S61" s="15">
        <f t="shared" si="15"/>
        <v>1.2677454792373553</v>
      </c>
      <c r="T61" s="15"/>
      <c r="U61" s="15"/>
      <c r="V61" s="15">
        <f t="shared" si="16"/>
        <v>0.91595900439238653</v>
      </c>
      <c r="W61" s="15">
        <f t="shared" si="24"/>
        <v>0.86419753086419759</v>
      </c>
      <c r="X61" s="20"/>
      <c r="Y61" s="20"/>
      <c r="Z61" s="20"/>
      <c r="AA61" s="15">
        <f t="shared" si="21"/>
        <v>0.73895347925413213</v>
      </c>
      <c r="AJ61" s="3"/>
      <c r="AK61" s="6"/>
      <c r="AM61" s="6"/>
      <c r="AN61" s="6"/>
      <c r="AO61" s="7"/>
      <c r="AP61" s="7"/>
      <c r="AQ61" s="7"/>
    </row>
    <row r="62" spans="1:43">
      <c r="A62" s="20">
        <f>+South_CPUE_2026!A68</f>
        <v>2018</v>
      </c>
      <c r="B62" s="19">
        <f>+South_CPUE_2026!B68</f>
        <v>6.4869490000000001</v>
      </c>
      <c r="C62" s="19">
        <f>+South_CPUE_2026!D68</f>
        <v>1.1719999999999999</v>
      </c>
      <c r="D62" s="19">
        <f>+South_CPUE_2026!F68</f>
        <v>9.3323</v>
      </c>
      <c r="E62" s="19">
        <f>+South_CPUE_2026!H68</f>
        <v>483.87900000000002</v>
      </c>
      <c r="F62" s="19"/>
      <c r="G62" s="19"/>
      <c r="H62" s="19">
        <f>+South_CPUE_2026!N68</f>
        <v>0.57999999999999996</v>
      </c>
      <c r="I62" s="20">
        <f>+South_CPUE_2026!P68</f>
        <v>0.96</v>
      </c>
      <c r="J62" s="19"/>
      <c r="K62" s="19"/>
      <c r="L62" s="19"/>
      <c r="M62" s="20">
        <f>+South_CPUE_2026!T68</f>
        <v>0.21079967233105301</v>
      </c>
      <c r="N62" s="21"/>
      <c r="O62" s="20">
        <f t="shared" si="17"/>
        <v>2018</v>
      </c>
      <c r="P62" s="15">
        <f t="shared" si="19"/>
        <v>1.0006506317914148</v>
      </c>
      <c r="Q62" s="15">
        <f t="shared" si="20"/>
        <v>1.0857040401625628</v>
      </c>
      <c r="R62" s="15">
        <f t="shared" si="14"/>
        <v>1.0824429576389303</v>
      </c>
      <c r="S62" s="15">
        <f t="shared" si="15"/>
        <v>1.1278044836518095</v>
      </c>
      <c r="T62" s="15"/>
      <c r="U62" s="15"/>
      <c r="V62" s="15">
        <f t="shared" si="16"/>
        <v>0.57745241581259144</v>
      </c>
      <c r="W62" s="15">
        <f t="shared" si="24"/>
        <v>0.92181069958847739</v>
      </c>
      <c r="X62" s="20"/>
      <c r="Y62" s="20"/>
      <c r="Z62" s="20"/>
      <c r="AA62" s="15">
        <f t="shared" si="21"/>
        <v>0.858172548039287</v>
      </c>
      <c r="AJ62" s="3"/>
      <c r="AK62" s="6"/>
      <c r="AM62" s="6"/>
      <c r="AN62" s="6"/>
      <c r="AO62" s="7"/>
      <c r="AP62" s="7"/>
      <c r="AQ62" s="7"/>
    </row>
    <row r="63" spans="1:43">
      <c r="A63" s="20">
        <f>+South_CPUE_2026!A69</f>
        <v>2019</v>
      </c>
      <c r="B63" s="19">
        <f>+South_CPUE_2026!B69</f>
        <v>5.2972789999999996</v>
      </c>
      <c r="C63" s="19">
        <f>+South_CPUE_2026!D69</f>
        <v>1.026</v>
      </c>
      <c r="D63" s="19">
        <f>+South_CPUE_2026!F69</f>
        <v>9.7132000000000005</v>
      </c>
      <c r="E63" s="19">
        <f>+South_CPUE_2026!H69</f>
        <v>490.72199999999998</v>
      </c>
      <c r="F63" s="19"/>
      <c r="G63" s="19"/>
      <c r="H63" s="19">
        <f>+South_CPUE_2026!N69</f>
        <v>0.72</v>
      </c>
      <c r="I63" s="20">
        <f>+South_CPUE_2026!P69</f>
        <v>1.35</v>
      </c>
      <c r="J63" s="19"/>
      <c r="K63" s="19"/>
      <c r="L63" s="19"/>
      <c r="M63" s="20">
        <f>+South_CPUE_2026!T69</f>
        <v>0.17868312177885901</v>
      </c>
      <c r="N63" s="21"/>
      <c r="O63" s="20">
        <f t="shared" si="17"/>
        <v>2019</v>
      </c>
      <c r="P63" s="15">
        <f t="shared" si="19"/>
        <v>0.81713692802662596</v>
      </c>
      <c r="Q63" s="15">
        <f t="shared" si="20"/>
        <v>0.95045421945971797</v>
      </c>
      <c r="R63" s="15">
        <f t="shared" si="14"/>
        <v>1.1266231192887561</v>
      </c>
      <c r="S63" s="15">
        <f t="shared" si="15"/>
        <v>1.1437538554609381</v>
      </c>
      <c r="T63" s="15"/>
      <c r="U63" s="15"/>
      <c r="V63" s="15">
        <f t="shared" si="16"/>
        <v>0.71683748169838946</v>
      </c>
      <c r="W63" s="15">
        <f t="shared" si="24"/>
        <v>1.2962962962962965</v>
      </c>
      <c r="X63" s="20"/>
      <c r="Y63" s="20"/>
      <c r="Z63" s="20"/>
      <c r="AA63" s="15">
        <f t="shared" si="21"/>
        <v>0.72742499176071496</v>
      </c>
      <c r="AJ63" s="3"/>
      <c r="AK63" s="6"/>
      <c r="AM63" s="6"/>
      <c r="AN63" s="6"/>
      <c r="AO63" s="7"/>
      <c r="AP63" s="7"/>
      <c r="AQ63" s="7"/>
    </row>
    <row r="64" spans="1:43">
      <c r="A64" s="20">
        <f>+South_CPUE_2026!A70</f>
        <v>2020</v>
      </c>
      <c r="B64" s="19">
        <f>+South_CPUE_2026!B70</f>
        <v>5.3184769999999997</v>
      </c>
      <c r="C64" s="19">
        <f>+South_CPUE_2026!D70</f>
        <v>0.90100000000000002</v>
      </c>
      <c r="D64" s="19">
        <f>+South_CPUE_2026!F70</f>
        <v>8.4940999999999995</v>
      </c>
      <c r="E64" s="19">
        <f>+South_CPUE_2026!H70</f>
        <v>425.762</v>
      </c>
      <c r="F64" s="19"/>
      <c r="G64" s="19"/>
      <c r="H64" s="19">
        <f>+South_CPUE_2026!N70</f>
        <v>0.86</v>
      </c>
      <c r="I64" s="20">
        <f>+South_CPUE_2026!P70</f>
        <v>0.84</v>
      </c>
      <c r="J64" s="19"/>
      <c r="K64" s="19"/>
      <c r="L64" s="19"/>
      <c r="M64" s="20">
        <f>+South_CPUE_2026!T70</f>
        <v>0.23849026588515601</v>
      </c>
      <c r="N64" s="21"/>
      <c r="O64" s="20">
        <f t="shared" si="17"/>
        <v>2020</v>
      </c>
      <c r="P64" s="15">
        <f t="shared" si="19"/>
        <v>0.82040684614879933</v>
      </c>
      <c r="Q64" s="15">
        <f t="shared" ref="Q64:Q65" si="25">+C64/C$2</f>
        <v>0.83465814009084394</v>
      </c>
      <c r="R64" s="15">
        <f t="shared" ref="R64:R65" si="26">+D64/D$2</f>
        <v>0.9852210844572975</v>
      </c>
      <c r="S64" s="15">
        <f t="shared" ref="S64:S65" si="27">+E64/E$2</f>
        <v>0.99234786500046857</v>
      </c>
      <c r="T64" s="15"/>
      <c r="U64" s="15"/>
      <c r="V64" s="15">
        <f t="shared" si="16"/>
        <v>0.85622254758418737</v>
      </c>
      <c r="W64" s="15">
        <f t="shared" si="24"/>
        <v>0.80658436213991769</v>
      </c>
      <c r="X64" s="20"/>
      <c r="Y64" s="20"/>
      <c r="Z64" s="20"/>
      <c r="AA64" s="15">
        <f t="shared" si="21"/>
        <v>0.97090188468514971</v>
      </c>
      <c r="AJ64" s="3"/>
      <c r="AK64" s="6"/>
      <c r="AM64" s="6"/>
      <c r="AN64" s="6"/>
      <c r="AO64" s="7"/>
      <c r="AP64" s="7"/>
      <c r="AQ64" s="7"/>
    </row>
    <row r="65" spans="1:43">
      <c r="A65" s="20">
        <f>+South_CPUE_2026!A71</f>
        <v>2021</v>
      </c>
      <c r="B65" s="19">
        <f>+South_CPUE_2026!B71</f>
        <v>5.5248229999999996</v>
      </c>
      <c r="C65" s="19">
        <f>+South_CPUE_2026!D71</f>
        <v>0.84199999999999997</v>
      </c>
      <c r="D65" s="19">
        <f>+South_CPUE_2026!F71</f>
        <v>9.2329000000000008</v>
      </c>
      <c r="E65" s="19">
        <f>+South_CPUE_2026!H71</f>
        <v>467.34100000000001</v>
      </c>
      <c r="F65" s="19"/>
      <c r="G65" s="19"/>
      <c r="H65" s="19">
        <f>+South_CPUE_2026!N71</f>
        <v>0.62</v>
      </c>
      <c r="I65" s="20">
        <f>+South_CPUE_2026!P71</f>
        <v>0.97</v>
      </c>
      <c r="J65" s="19"/>
      <c r="K65" s="19"/>
      <c r="L65" s="19"/>
      <c r="M65" s="20">
        <f>+South_CPUE_2026!T71</f>
        <v>0.37496516967034799</v>
      </c>
      <c r="N65" s="21"/>
      <c r="O65" s="20">
        <f t="shared" si="17"/>
        <v>2021</v>
      </c>
      <c r="P65" s="15">
        <f t="shared" si="19"/>
        <v>0.85223694921691828</v>
      </c>
      <c r="Q65" s="15">
        <f t="shared" si="25"/>
        <v>0.78000239062873533</v>
      </c>
      <c r="R65" s="15">
        <f t="shared" si="26"/>
        <v>1.0709136636825307</v>
      </c>
      <c r="S65" s="15">
        <f t="shared" si="27"/>
        <v>1.0892584203784839</v>
      </c>
      <c r="T65" s="15"/>
      <c r="U65" s="15"/>
      <c r="V65" s="15">
        <f t="shared" si="16"/>
        <v>0.61727672035139092</v>
      </c>
      <c r="W65" s="15">
        <f t="shared" si="24"/>
        <v>0.93141289437585739</v>
      </c>
      <c r="X65" s="20"/>
      <c r="Y65" s="20"/>
      <c r="Z65" s="20"/>
      <c r="AA65" s="15">
        <f t="shared" si="21"/>
        <v>1.5264958029756093</v>
      </c>
      <c r="AJ65" s="3"/>
      <c r="AK65" s="6"/>
      <c r="AM65" s="6"/>
      <c r="AN65" s="6"/>
      <c r="AO65" s="7"/>
      <c r="AP65" s="7"/>
      <c r="AQ65" s="7"/>
    </row>
    <row r="66" spans="1:43">
      <c r="A66" s="20">
        <f>+South_CPUE_2026!A72</f>
        <v>2022</v>
      </c>
      <c r="B66" s="19">
        <f>+South_CPUE_2026!B72</f>
        <v>6.1139169999999998</v>
      </c>
      <c r="C66" s="19">
        <f>+South_CPUE_2026!D72</f>
        <v>0.85599999999999998</v>
      </c>
      <c r="D66" s="19">
        <f>+South_CPUE_2026!F72</f>
        <v>8.7981999999999996</v>
      </c>
      <c r="E66" s="19">
        <f>+South_CPUE_2026!H72</f>
        <v>434.61799999999999</v>
      </c>
      <c r="F66" s="19"/>
      <c r="G66" s="19"/>
      <c r="H66" s="19">
        <f>+South_CPUE_2026!N72</f>
        <v>0.54</v>
      </c>
      <c r="I66" s="20">
        <f>+South_CPUE_2026!P72</f>
        <v>0.86</v>
      </c>
      <c r="J66" s="19"/>
      <c r="K66" s="19"/>
      <c r="L66" s="19"/>
      <c r="M66" s="20">
        <f>+South_CPUE_2026!T72</f>
        <v>0.33888995236895098</v>
      </c>
      <c r="N66" s="21"/>
      <c r="O66" s="20">
        <f t="shared" si="17"/>
        <v>2022</v>
      </c>
      <c r="P66" s="15">
        <f t="shared" si="19"/>
        <v>0.94310821755655405</v>
      </c>
      <c r="Q66" s="15">
        <f t="shared" ref="Q66:Q68" si="28">+C66/C$2</f>
        <v>0.79297155151804921</v>
      </c>
      <c r="R66" s="15">
        <f t="shared" ref="R66:R68" si="29">+D66/D$2</f>
        <v>1.0204933006760215</v>
      </c>
      <c r="S66" s="15">
        <f t="shared" ref="S66:S68" si="30">+E66/E$2</f>
        <v>1.0129890511383677</v>
      </c>
      <c r="T66" s="15"/>
      <c r="U66" s="15"/>
      <c r="V66" s="15">
        <f t="shared" si="16"/>
        <v>0.53762811127379218</v>
      </c>
      <c r="W66" s="15">
        <f t="shared" si="24"/>
        <v>0.82578875171467769</v>
      </c>
      <c r="X66" s="20"/>
      <c r="Y66" s="20"/>
      <c r="Z66" s="21"/>
      <c r="AA66" s="15">
        <f t="shared" si="21"/>
        <v>1.3796323813665317</v>
      </c>
      <c r="AJ66" s="3"/>
      <c r="AK66" s="6"/>
      <c r="AM66" s="6"/>
      <c r="AN66" s="6"/>
      <c r="AO66" s="7"/>
      <c r="AP66" s="7"/>
      <c r="AQ66" s="7"/>
    </row>
    <row r="67" spans="1:43">
      <c r="A67" s="20">
        <f>+South_CPUE_2026!A73</f>
        <v>2023</v>
      </c>
      <c r="B67" s="19">
        <f>+South_CPUE_2026!B73</f>
        <v>7.3435269999999999</v>
      </c>
      <c r="C67" s="19">
        <f>+South_CPUE_2026!D73</f>
        <v>0.82599999999999996</v>
      </c>
      <c r="D67" s="19">
        <f>+South_CPUE_2026!F73</f>
        <v>10.79</v>
      </c>
      <c r="E67" s="19">
        <f>+South_CPUE_2026!H73</f>
        <v>526.81500000000005</v>
      </c>
      <c r="F67" s="19"/>
      <c r="G67" s="19"/>
      <c r="H67" s="19">
        <f>+South_CPUE_2026!N73</f>
        <v>0.93</v>
      </c>
      <c r="I67" s="20">
        <f>+South_CPUE_2026!P73</f>
        <v>0.99</v>
      </c>
      <c r="J67" s="19"/>
      <c r="K67" s="19"/>
      <c r="L67" s="19"/>
      <c r="M67" s="20">
        <f>+South_CPUE_2026!T73</f>
        <v>0.30117700880060999</v>
      </c>
      <c r="N67" s="21"/>
      <c r="O67" s="20">
        <f t="shared" si="17"/>
        <v>2023</v>
      </c>
      <c r="P67" s="15">
        <f t="shared" si="19"/>
        <v>1.132782904895246</v>
      </c>
      <c r="Q67" s="15">
        <f t="shared" si="28"/>
        <v>0.76518049246951947</v>
      </c>
      <c r="R67" s="15">
        <f t="shared" si="29"/>
        <v>1.2515199375206603</v>
      </c>
      <c r="S67" s="15">
        <f t="shared" si="30"/>
        <v>1.2278778766076397</v>
      </c>
      <c r="T67" s="15"/>
      <c r="U67" s="15"/>
      <c r="V67" s="15">
        <f t="shared" si="16"/>
        <v>0.92591508052708649</v>
      </c>
      <c r="W67" s="15">
        <f t="shared" si="24"/>
        <v>0.95061728395061729</v>
      </c>
      <c r="X67" s="21"/>
      <c r="Y67" s="21"/>
      <c r="Z67" s="21"/>
      <c r="AA67" s="15">
        <f t="shared" si="21"/>
        <v>1.2261017211040326</v>
      </c>
      <c r="AJ67" s="3"/>
      <c r="AK67" s="6"/>
      <c r="AM67" s="6"/>
      <c r="AN67" s="6"/>
      <c r="AO67" s="7"/>
      <c r="AP67" s="7"/>
      <c r="AQ67" s="7"/>
    </row>
    <row r="68" spans="1:43">
      <c r="A68" s="20">
        <f>+South_CPUE_2026!A74</f>
        <v>2024</v>
      </c>
      <c r="B68" s="19">
        <f>+South_CPUE_2026!B74</f>
        <v>6.5888629999999999</v>
      </c>
      <c r="C68" s="19">
        <f>+South_CPUE_2026!D74</f>
        <v>0.58799999999999997</v>
      </c>
      <c r="D68" s="19">
        <f>+South_CPUE_2026!F74</f>
        <v>9.7361000000000004</v>
      </c>
      <c r="E68" s="19">
        <f>+South_CPUE_2026!H74</f>
        <v>489.49799999999999</v>
      </c>
      <c r="F68" s="19"/>
      <c r="G68" s="19"/>
      <c r="H68" s="19">
        <f>+South_CPUE_2026!N74</f>
        <v>1.1000000000000001</v>
      </c>
      <c r="I68" s="20">
        <f>+South_CPUE_2026!P74</f>
        <v>0.93</v>
      </c>
      <c r="J68" s="19"/>
      <c r="K68" s="19"/>
      <c r="L68" s="19"/>
      <c r="M68" s="20">
        <f>+South_CPUE_2026!T74</f>
        <v>0.33320629713097699</v>
      </c>
      <c r="N68" s="21"/>
      <c r="O68" s="20">
        <f t="shared" si="17"/>
        <v>2024</v>
      </c>
      <c r="P68" s="15">
        <f t="shared" si="19"/>
        <v>1.0163714750550799</v>
      </c>
      <c r="Q68" s="15">
        <f t="shared" si="28"/>
        <v>0.5447047573511834</v>
      </c>
      <c r="R68" s="15">
        <f t="shared" si="29"/>
        <v>1.1292792644758944</v>
      </c>
      <c r="S68" s="15">
        <f t="shared" si="30"/>
        <v>1.1409010085963505</v>
      </c>
      <c r="T68" s="15"/>
      <c r="U68" s="15"/>
      <c r="V68" s="15">
        <f t="shared" si="16"/>
        <v>1.095168374816984</v>
      </c>
      <c r="W68" s="15">
        <f t="shared" si="24"/>
        <v>0.89300411522633749</v>
      </c>
      <c r="X68" s="21"/>
      <c r="Y68" s="21"/>
      <c r="Z68" s="21"/>
      <c r="AA68" s="15">
        <f t="shared" si="21"/>
        <v>1.3564940299459045</v>
      </c>
      <c r="AJ68" s="3"/>
      <c r="AK68" s="6"/>
      <c r="AM68" s="6"/>
      <c r="AN68" s="6"/>
      <c r="AO68" s="7"/>
      <c r="AP68" s="7"/>
      <c r="AQ68" s="7"/>
    </row>
    <row r="69" spans="1:4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J69" s="3"/>
      <c r="AK69" s="6"/>
      <c r="AM69" s="6"/>
      <c r="AN69" s="6"/>
      <c r="AO69" s="7"/>
      <c r="AP69" s="7"/>
      <c r="AQ69" s="7"/>
    </row>
    <row r="70" spans="1:43">
      <c r="AJ70" s="3"/>
      <c r="AK70" s="6"/>
      <c r="AM70" s="6"/>
      <c r="AN70" s="6"/>
      <c r="AO70" s="7"/>
      <c r="AP70" s="7"/>
      <c r="AQ70" s="7"/>
    </row>
    <row r="71" spans="1:43">
      <c r="AJ71" s="3"/>
      <c r="AK71" s="6"/>
      <c r="AM71" s="6"/>
      <c r="AN71" s="6"/>
      <c r="AO71" s="7"/>
      <c r="AP71" s="7"/>
      <c r="AQ71" s="7"/>
    </row>
    <row r="72" spans="1:43">
      <c r="AJ72" s="3"/>
      <c r="AL72" s="7"/>
      <c r="AM72" s="6"/>
      <c r="AN72" s="6"/>
      <c r="AO72" s="7"/>
      <c r="AP72" s="7"/>
      <c r="AQ72" s="7"/>
    </row>
    <row r="73" spans="1:43">
      <c r="AJ73" s="3"/>
      <c r="AL73" s="7"/>
      <c r="AM73" s="6"/>
      <c r="AN73" s="6"/>
      <c r="AO73" s="7"/>
      <c r="AP73" s="7"/>
      <c r="AQ73" s="7"/>
    </row>
    <row r="74" spans="1:43">
      <c r="AJ74" s="3"/>
      <c r="AL74" s="7"/>
      <c r="AM74" s="6"/>
      <c r="AN74" s="6"/>
      <c r="AO74" s="7"/>
      <c r="AP74" s="7"/>
      <c r="AQ74" s="7"/>
    </row>
    <row r="75" spans="1:43">
      <c r="AJ75" s="3"/>
      <c r="AL75" s="7"/>
      <c r="AM75" s="6"/>
      <c r="AN75" s="7"/>
      <c r="AO75" s="7"/>
      <c r="AP75" s="7"/>
      <c r="AQ75" s="7"/>
    </row>
    <row r="76" spans="1:43">
      <c r="AJ76" s="3"/>
      <c r="AL76" s="7"/>
      <c r="AN76" s="7"/>
      <c r="AO76" s="7"/>
      <c r="AP76" s="7"/>
      <c r="AQ76" s="7"/>
    </row>
    <row r="77" spans="1:43">
      <c r="AJ77" s="3"/>
      <c r="AL77" s="7"/>
      <c r="AN77" s="7"/>
      <c r="AO77" s="7"/>
      <c r="AP77" s="7"/>
      <c r="AQ77" s="7"/>
    </row>
    <row r="78" spans="1:43">
      <c r="AJ78" s="3"/>
      <c r="AL78" s="7"/>
      <c r="AN78" s="7"/>
      <c r="AO78" s="7"/>
      <c r="AP78" s="7"/>
      <c r="AQ78" s="7"/>
    </row>
    <row r="79" spans="1:43">
      <c r="AJ79" s="3"/>
      <c r="AL79" s="7"/>
      <c r="AN79" s="7"/>
      <c r="AO79" s="7"/>
      <c r="AP79" s="7"/>
      <c r="AQ79" s="7"/>
    </row>
    <row r="80" spans="1:43">
      <c r="AJ80" s="3"/>
      <c r="AN80" s="7"/>
      <c r="AO80" s="7"/>
      <c r="AP80" s="7"/>
      <c r="AQ80" s="7"/>
    </row>
    <row r="81" spans="36:43">
      <c r="AJ81" s="3"/>
      <c r="AN81" s="7"/>
      <c r="AO81" s="7"/>
      <c r="AP81" s="7"/>
      <c r="AQ81" s="7"/>
    </row>
    <row r="82" spans="36:43">
      <c r="AJ82" s="3"/>
      <c r="AN82" s="7"/>
      <c r="AO82" s="7"/>
      <c r="AP82" s="7"/>
    </row>
    <row r="83" spans="36:43">
      <c r="AJ83" s="8"/>
      <c r="AK83" s="1"/>
      <c r="AL83" s="1"/>
      <c r="AM83" s="1"/>
      <c r="AN83" s="1"/>
      <c r="AO83" s="7"/>
      <c r="AP83" s="7"/>
    </row>
    <row r="84" spans="36:43">
      <c r="AJ84" s="1"/>
      <c r="AK84" s="9"/>
    </row>
    <row r="85" spans="36:43">
      <c r="AJ85" s="1"/>
      <c r="AK85" s="9"/>
    </row>
    <row r="86" spans="36:43">
      <c r="AJ86" s="1"/>
    </row>
    <row r="87" spans="36:43">
      <c r="AJ87" s="1"/>
    </row>
    <row r="88" spans="36:43">
      <c r="AJ88" s="1"/>
      <c r="AK88" s="9"/>
      <c r="AL88" s="1"/>
    </row>
    <row r="89" spans="36:43">
      <c r="AJ89" s="1"/>
      <c r="AK89" s="9"/>
      <c r="AL89" s="1"/>
    </row>
    <row r="90" spans="36:43">
      <c r="AL90" s="1"/>
    </row>
    <row r="91" spans="36:43">
      <c r="AL91" s="1"/>
    </row>
    <row r="100" spans="39:39">
      <c r="AM100" s="10"/>
    </row>
    <row r="104" spans="39:39">
      <c r="AM104" s="10"/>
    </row>
    <row r="105" spans="39:39">
      <c r="AM105" s="10"/>
    </row>
    <row r="106" spans="39:39">
      <c r="AM106" s="10"/>
    </row>
    <row r="107" spans="39:39">
      <c r="AM107" s="10"/>
    </row>
    <row r="108" spans="39:39">
      <c r="AM108" s="10"/>
    </row>
    <row r="109" spans="39:39">
      <c r="AM109" s="10"/>
    </row>
    <row r="110" spans="39:39">
      <c r="AM110" s="10"/>
    </row>
    <row r="111" spans="39:39">
      <c r="AM111" s="10"/>
    </row>
    <row r="112" spans="39:39">
      <c r="AM112" s="10"/>
    </row>
    <row r="113" spans="39:39">
      <c r="AM113" s="10"/>
    </row>
    <row r="114" spans="39:39">
      <c r="AM114" s="10"/>
    </row>
    <row r="115" spans="39:39">
      <c r="AM115" s="10"/>
    </row>
  </sheetData>
  <phoneticPr fontId="2"/>
  <pageMargins left="0.78700000000000003" right="0.78700000000000003" top="0.98399999999999999" bottom="0.98399999999999999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zoomScale="145" zoomScaleNormal="145" workbookViewId="0">
      <pane xSplit="3" ySplit="8" topLeftCell="F24" activePane="bottomRight" state="frozen"/>
      <selection activeCell="C5" sqref="C5:M31"/>
      <selection pane="topRight" activeCell="C5" sqref="C5:M31"/>
      <selection pane="bottomLeft" activeCell="C5" sqref="C5:M31"/>
      <selection pane="bottomRight" activeCell="C5" sqref="C5:I31"/>
    </sheetView>
  </sheetViews>
  <sheetFormatPr defaultColWidth="9.140625" defaultRowHeight="15"/>
  <cols>
    <col min="1" max="1" width="17.7109375" style="50" customWidth="1"/>
    <col min="2" max="2" width="11.140625" style="50" customWidth="1"/>
    <col min="3" max="3" width="34.85546875" style="50" customWidth="1"/>
    <col min="4" max="13" width="19.5703125" style="50" customWidth="1"/>
    <col min="14" max="16384" width="9.140625" style="50"/>
  </cols>
  <sheetData>
    <row r="1" spans="1:13">
      <c r="A1" s="67" t="s">
        <v>223</v>
      </c>
      <c r="B1" s="52"/>
      <c r="C1" s="50">
        <v>2026</v>
      </c>
      <c r="K1" s="50" t="s">
        <v>221</v>
      </c>
      <c r="L1" s="50" t="s">
        <v>221</v>
      </c>
      <c r="M1" s="50" t="s">
        <v>221</v>
      </c>
    </row>
    <row r="2" spans="1:13">
      <c r="A2" s="66" t="s">
        <v>224</v>
      </c>
      <c r="B2" s="52"/>
      <c r="C2" s="52"/>
      <c r="D2" s="50" t="s">
        <v>268</v>
      </c>
    </row>
    <row r="3" spans="1:13">
      <c r="A3" s="52"/>
      <c r="B3" s="52" t="s">
        <v>197</v>
      </c>
      <c r="C3" s="50" t="s">
        <v>196</v>
      </c>
      <c r="E3" s="89" t="s">
        <v>250</v>
      </c>
      <c r="K3" s="133" t="s">
        <v>252</v>
      </c>
      <c r="L3" s="133"/>
      <c r="M3" s="133"/>
    </row>
    <row r="4" spans="1:13">
      <c r="A4" s="52"/>
      <c r="B4" s="52"/>
      <c r="C4" s="50" t="s">
        <v>195</v>
      </c>
      <c r="D4" s="73" t="s">
        <v>25</v>
      </c>
      <c r="E4" s="50" t="s">
        <v>25</v>
      </c>
      <c r="F4" s="50" t="s">
        <v>194</v>
      </c>
      <c r="G4" s="57" t="s">
        <v>25</v>
      </c>
      <c r="H4" s="50" t="s">
        <v>10</v>
      </c>
      <c r="I4" s="73" t="s">
        <v>25</v>
      </c>
      <c r="J4" s="57"/>
      <c r="K4" s="50" t="s">
        <v>10</v>
      </c>
      <c r="L4" s="50" t="s">
        <v>10</v>
      </c>
      <c r="M4" s="50" t="s">
        <v>10</v>
      </c>
    </row>
    <row r="5" spans="1:13">
      <c r="A5" s="52"/>
      <c r="B5" s="52"/>
      <c r="C5" s="113" t="s">
        <v>108</v>
      </c>
      <c r="D5" s="98" t="s">
        <v>110</v>
      </c>
      <c r="E5" s="98" t="s">
        <v>110</v>
      </c>
      <c r="F5" s="98" t="s">
        <v>110</v>
      </c>
      <c r="G5" s="98" t="s">
        <v>110</v>
      </c>
      <c r="H5" s="98" t="s">
        <v>110</v>
      </c>
      <c r="I5" s="98" t="s">
        <v>110</v>
      </c>
      <c r="J5" s="56"/>
      <c r="K5" s="56" t="s">
        <v>110</v>
      </c>
      <c r="L5" s="56" t="s">
        <v>110</v>
      </c>
      <c r="M5" s="56" t="s">
        <v>110</v>
      </c>
    </row>
    <row r="6" spans="1:13" ht="25.5">
      <c r="A6" s="52"/>
      <c r="B6" s="51"/>
      <c r="C6" s="113" t="s">
        <v>193</v>
      </c>
      <c r="D6" s="112" t="s">
        <v>11</v>
      </c>
      <c r="E6" s="112" t="s">
        <v>11</v>
      </c>
      <c r="F6" s="112" t="s">
        <v>11</v>
      </c>
      <c r="G6" s="112" t="s">
        <v>11</v>
      </c>
      <c r="H6" s="112" t="s">
        <v>11</v>
      </c>
      <c r="I6" s="112" t="s">
        <v>11</v>
      </c>
      <c r="J6" s="91"/>
      <c r="K6" s="81"/>
      <c r="L6" s="81"/>
      <c r="M6" s="81"/>
    </row>
    <row r="7" spans="1:13">
      <c r="A7" s="52"/>
      <c r="B7" s="51"/>
      <c r="C7" s="113" t="s">
        <v>192</v>
      </c>
      <c r="D7" s="99" t="s">
        <v>72</v>
      </c>
      <c r="E7" s="99" t="s">
        <v>41</v>
      </c>
      <c r="F7" s="99" t="s">
        <v>42</v>
      </c>
      <c r="G7" s="100" t="s">
        <v>43</v>
      </c>
      <c r="H7" s="100" t="s">
        <v>222</v>
      </c>
      <c r="I7" s="99" t="s">
        <v>229</v>
      </c>
      <c r="J7" s="51"/>
      <c r="K7" s="74" t="s">
        <v>13</v>
      </c>
      <c r="L7" s="74" t="s">
        <v>21</v>
      </c>
      <c r="M7" s="74" t="s">
        <v>112</v>
      </c>
    </row>
    <row r="8" spans="1:13" s="53" customFormat="1">
      <c r="A8" s="55"/>
      <c r="B8" s="54"/>
      <c r="C8" s="113" t="s">
        <v>191</v>
      </c>
      <c r="D8" s="101" t="s">
        <v>242</v>
      </c>
      <c r="E8" s="102" t="s">
        <v>118</v>
      </c>
      <c r="F8" s="101" t="s">
        <v>36</v>
      </c>
      <c r="G8" s="102" t="s">
        <v>96</v>
      </c>
      <c r="H8" s="102" t="s">
        <v>30</v>
      </c>
      <c r="I8" s="101" t="s">
        <v>190</v>
      </c>
      <c r="J8" s="92"/>
      <c r="K8" s="83" t="s">
        <v>219</v>
      </c>
      <c r="L8" s="83" t="s">
        <v>220</v>
      </c>
      <c r="M8" s="82" t="s">
        <v>31</v>
      </c>
    </row>
    <row r="9" spans="1:13" s="53" customFormat="1" ht="38.25">
      <c r="A9" s="55" t="s">
        <v>189</v>
      </c>
      <c r="B9" s="54">
        <v>0</v>
      </c>
      <c r="C9" s="101" t="s">
        <v>188</v>
      </c>
      <c r="D9" s="101" t="s">
        <v>243</v>
      </c>
      <c r="E9" s="101" t="s">
        <v>186</v>
      </c>
      <c r="F9" s="103" t="s">
        <v>247</v>
      </c>
      <c r="G9" s="101" t="s">
        <v>186</v>
      </c>
      <c r="H9" s="101" t="s">
        <v>186</v>
      </c>
      <c r="I9" s="101" t="s">
        <v>186</v>
      </c>
      <c r="J9" s="54"/>
      <c r="K9" s="74" t="s">
        <v>187</v>
      </c>
      <c r="L9" s="74" t="s">
        <v>186</v>
      </c>
      <c r="M9" s="75" t="s">
        <v>186</v>
      </c>
    </row>
    <row r="10" spans="1:13" s="53" customFormat="1" ht="61.35" customHeight="1">
      <c r="A10" s="53" t="s">
        <v>185</v>
      </c>
      <c r="B10" s="54"/>
      <c r="C10" s="102" t="s">
        <v>184</v>
      </c>
      <c r="D10" s="101" t="s">
        <v>180</v>
      </c>
      <c r="E10" s="101" t="s">
        <v>181</v>
      </c>
      <c r="F10" s="103" t="s">
        <v>183</v>
      </c>
      <c r="G10" s="101" t="s">
        <v>181</v>
      </c>
      <c r="H10" s="101" t="s">
        <v>181</v>
      </c>
      <c r="I10" s="101" t="s">
        <v>180</v>
      </c>
      <c r="J10" s="54"/>
      <c r="K10" s="75" t="s">
        <v>182</v>
      </c>
      <c r="L10" s="75" t="s">
        <v>181</v>
      </c>
      <c r="M10" s="75" t="s">
        <v>181</v>
      </c>
    </row>
    <row r="11" spans="1:13" ht="38.25">
      <c r="A11" s="52" t="s">
        <v>166</v>
      </c>
      <c r="B11" s="51">
        <v>1</v>
      </c>
      <c r="C11" s="101" t="s">
        <v>179</v>
      </c>
      <c r="D11" s="103" t="s">
        <v>11</v>
      </c>
      <c r="E11" s="103" t="s">
        <v>11</v>
      </c>
      <c r="F11" s="103" t="s">
        <v>11</v>
      </c>
      <c r="G11" s="103" t="s">
        <v>11</v>
      </c>
      <c r="H11" s="103" t="s">
        <v>11</v>
      </c>
      <c r="I11" s="103" t="s">
        <v>11</v>
      </c>
      <c r="J11" s="93"/>
      <c r="K11" s="76" t="s">
        <v>24</v>
      </c>
      <c r="L11" s="76" t="s">
        <v>11</v>
      </c>
      <c r="M11" s="76" t="s">
        <v>11</v>
      </c>
    </row>
    <row r="12" spans="1:13" ht="25.5">
      <c r="A12" s="52" t="s">
        <v>178</v>
      </c>
      <c r="B12" s="51">
        <v>2</v>
      </c>
      <c r="C12" s="101" t="s">
        <v>177</v>
      </c>
      <c r="D12" s="103" t="s">
        <v>175</v>
      </c>
      <c r="E12" s="103" t="s">
        <v>176</v>
      </c>
      <c r="F12" s="103" t="s">
        <v>175</v>
      </c>
      <c r="G12" s="103" t="s">
        <v>175</v>
      </c>
      <c r="H12" s="103" t="s">
        <v>175</v>
      </c>
      <c r="I12" s="103" t="s">
        <v>175</v>
      </c>
      <c r="J12" s="93"/>
      <c r="K12" s="76"/>
      <c r="L12" s="76" t="s">
        <v>175</v>
      </c>
      <c r="M12" s="76" t="s">
        <v>176</v>
      </c>
    </row>
    <row r="13" spans="1:13" ht="25.5">
      <c r="A13" s="52" t="s">
        <v>174</v>
      </c>
      <c r="B13" s="51">
        <v>3</v>
      </c>
      <c r="C13" s="101" t="s">
        <v>173</v>
      </c>
      <c r="D13" s="103" t="s">
        <v>172</v>
      </c>
      <c r="E13" s="103" t="s">
        <v>172</v>
      </c>
      <c r="F13" s="103" t="s">
        <v>172</v>
      </c>
      <c r="G13" s="103" t="s">
        <v>172</v>
      </c>
      <c r="H13" s="103" t="s">
        <v>172</v>
      </c>
      <c r="I13" s="103" t="s">
        <v>172</v>
      </c>
      <c r="J13" s="93"/>
      <c r="K13" s="76" t="s">
        <v>172</v>
      </c>
      <c r="L13" s="76" t="s">
        <v>172</v>
      </c>
      <c r="M13" s="76" t="s">
        <v>172</v>
      </c>
    </row>
    <row r="14" spans="1:13" ht="25.5">
      <c r="A14" s="52" t="s">
        <v>171</v>
      </c>
      <c r="B14" s="51">
        <v>4</v>
      </c>
      <c r="C14" s="101" t="s">
        <v>170</v>
      </c>
      <c r="D14" s="103" t="s">
        <v>169</v>
      </c>
      <c r="E14" s="103" t="s">
        <v>169</v>
      </c>
      <c r="F14" s="103" t="s">
        <v>169</v>
      </c>
      <c r="G14" s="103" t="s">
        <v>169</v>
      </c>
      <c r="H14" s="103" t="s">
        <v>169</v>
      </c>
      <c r="I14" s="103" t="s">
        <v>169</v>
      </c>
      <c r="J14" s="93"/>
      <c r="K14" s="76" t="s">
        <v>169</v>
      </c>
      <c r="L14" s="76" t="s">
        <v>169</v>
      </c>
      <c r="M14" s="76" t="s">
        <v>169</v>
      </c>
    </row>
    <row r="15" spans="1:13" ht="25.5">
      <c r="A15" s="52" t="s">
        <v>166</v>
      </c>
      <c r="B15" s="51">
        <v>5</v>
      </c>
      <c r="C15" s="101" t="s">
        <v>168</v>
      </c>
      <c r="D15" s="103" t="s">
        <v>53</v>
      </c>
      <c r="E15" s="103" t="s">
        <v>11</v>
      </c>
      <c r="F15" s="103" t="s">
        <v>53</v>
      </c>
      <c r="G15" s="103" t="s">
        <v>11</v>
      </c>
      <c r="H15" s="103" t="s">
        <v>11</v>
      </c>
      <c r="I15" s="103" t="s">
        <v>53</v>
      </c>
      <c r="J15" s="93"/>
      <c r="K15" s="76" t="s">
        <v>11</v>
      </c>
      <c r="L15" s="76" t="s">
        <v>11</v>
      </c>
      <c r="M15" s="76" t="s">
        <v>11</v>
      </c>
    </row>
    <row r="16" spans="1:13">
      <c r="A16" s="52" t="s">
        <v>166</v>
      </c>
      <c r="B16" s="51">
        <v>6</v>
      </c>
      <c r="C16" s="101" t="s">
        <v>167</v>
      </c>
      <c r="D16" s="103" t="s">
        <v>53</v>
      </c>
      <c r="E16" s="103" t="s">
        <v>11</v>
      </c>
      <c r="F16" s="103" t="s">
        <v>53</v>
      </c>
      <c r="G16" s="103" t="s">
        <v>11</v>
      </c>
      <c r="H16" s="103" t="s">
        <v>11</v>
      </c>
      <c r="I16" s="103" t="s">
        <v>53</v>
      </c>
      <c r="J16" s="93"/>
      <c r="K16" s="76" t="s">
        <v>11</v>
      </c>
      <c r="L16" s="76" t="s">
        <v>11</v>
      </c>
      <c r="M16" s="76" t="s">
        <v>11</v>
      </c>
    </row>
    <row r="17" spans="1:13">
      <c r="A17" s="52" t="s">
        <v>166</v>
      </c>
      <c r="B17" s="51">
        <v>7</v>
      </c>
      <c r="C17" s="101" t="s">
        <v>165</v>
      </c>
      <c r="D17" s="103" t="s">
        <v>53</v>
      </c>
      <c r="E17" s="103" t="s">
        <v>11</v>
      </c>
      <c r="F17" s="103" t="s">
        <v>11</v>
      </c>
      <c r="G17" s="103" t="s">
        <v>11</v>
      </c>
      <c r="H17" s="103" t="s">
        <v>11</v>
      </c>
      <c r="I17" s="103" t="s">
        <v>53</v>
      </c>
      <c r="J17" s="93"/>
      <c r="K17" s="76" t="s">
        <v>11</v>
      </c>
      <c r="L17" s="76" t="s">
        <v>11</v>
      </c>
      <c r="M17" s="76" t="s">
        <v>11</v>
      </c>
    </row>
    <row r="18" spans="1:13">
      <c r="A18" s="52" t="s">
        <v>164</v>
      </c>
      <c r="B18" s="51">
        <v>8</v>
      </c>
      <c r="C18" s="101" t="s">
        <v>163</v>
      </c>
      <c r="D18" s="103" t="s">
        <v>160</v>
      </c>
      <c r="E18" s="103" t="s">
        <v>162</v>
      </c>
      <c r="F18" s="103" t="s">
        <v>160</v>
      </c>
      <c r="G18" s="103" t="s">
        <v>160</v>
      </c>
      <c r="H18" s="103" t="s">
        <v>161</v>
      </c>
      <c r="I18" s="103" t="s">
        <v>160</v>
      </c>
      <c r="J18" s="93"/>
      <c r="K18" s="76" t="s">
        <v>162</v>
      </c>
      <c r="L18" s="76" t="s">
        <v>162</v>
      </c>
      <c r="M18" s="76" t="s">
        <v>162</v>
      </c>
    </row>
    <row r="19" spans="1:13">
      <c r="A19" s="52" t="s">
        <v>159</v>
      </c>
      <c r="B19" s="51">
        <v>9</v>
      </c>
      <c r="C19" s="101" t="s">
        <v>158</v>
      </c>
      <c r="D19" s="103" t="s">
        <v>156</v>
      </c>
      <c r="E19" s="103" t="s">
        <v>156</v>
      </c>
      <c r="F19" s="103" t="s">
        <v>157</v>
      </c>
      <c r="G19" s="103" t="s">
        <v>156</v>
      </c>
      <c r="H19" s="103" t="s">
        <v>156</v>
      </c>
      <c r="I19" s="103" t="s">
        <v>156</v>
      </c>
      <c r="J19" s="93"/>
      <c r="K19" s="76" t="s">
        <v>156</v>
      </c>
      <c r="L19" s="76" t="s">
        <v>156</v>
      </c>
      <c r="M19" s="76" t="s">
        <v>156</v>
      </c>
    </row>
    <row r="20" spans="1:13" ht="25.5">
      <c r="A20" s="52" t="s">
        <v>155</v>
      </c>
      <c r="B20" s="51">
        <v>10</v>
      </c>
      <c r="C20" s="101" t="s">
        <v>154</v>
      </c>
      <c r="D20" s="104" t="s">
        <v>152</v>
      </c>
      <c r="E20" s="104" t="s">
        <v>152</v>
      </c>
      <c r="F20" s="104" t="s">
        <v>152</v>
      </c>
      <c r="G20" s="104" t="s">
        <v>152</v>
      </c>
      <c r="H20" s="104" t="s">
        <v>153</v>
      </c>
      <c r="I20" s="104" t="s">
        <v>152</v>
      </c>
      <c r="J20" s="94"/>
      <c r="K20" s="77" t="s">
        <v>152</v>
      </c>
      <c r="L20" s="77" t="s">
        <v>152</v>
      </c>
      <c r="M20" s="77" t="s">
        <v>152</v>
      </c>
    </row>
    <row r="21" spans="1:13">
      <c r="A21" s="52" t="s">
        <v>151</v>
      </c>
      <c r="B21" s="51">
        <v>11</v>
      </c>
      <c r="C21" s="101" t="s">
        <v>150</v>
      </c>
      <c r="D21" s="103" t="s">
        <v>148</v>
      </c>
      <c r="E21" s="103" t="s">
        <v>148</v>
      </c>
      <c r="F21" s="103" t="s">
        <v>148</v>
      </c>
      <c r="G21" s="103" t="s">
        <v>148</v>
      </c>
      <c r="H21" s="103" t="s">
        <v>149</v>
      </c>
      <c r="I21" s="103" t="s">
        <v>148</v>
      </c>
      <c r="J21" s="93"/>
      <c r="K21" s="76" t="s">
        <v>149</v>
      </c>
      <c r="L21" s="76" t="s">
        <v>148</v>
      </c>
      <c r="M21" s="76" t="s">
        <v>148</v>
      </c>
    </row>
    <row r="22" spans="1:13" ht="25.5">
      <c r="A22" s="52" t="s">
        <v>145</v>
      </c>
      <c r="B22" s="51">
        <v>12</v>
      </c>
      <c r="C22" s="101" t="s">
        <v>147</v>
      </c>
      <c r="D22" s="103" t="s">
        <v>146</v>
      </c>
      <c r="E22" s="103" t="s">
        <v>146</v>
      </c>
      <c r="F22" s="103" t="s">
        <v>146</v>
      </c>
      <c r="G22" s="103" t="s">
        <v>142</v>
      </c>
      <c r="H22" s="103" t="s">
        <v>146</v>
      </c>
      <c r="I22" s="103" t="s">
        <v>146</v>
      </c>
      <c r="J22" s="93"/>
      <c r="K22" s="76" t="s">
        <v>146</v>
      </c>
      <c r="L22" s="76" t="s">
        <v>146</v>
      </c>
      <c r="M22" s="76" t="s">
        <v>146</v>
      </c>
    </row>
    <row r="23" spans="1:13" ht="25.5">
      <c r="A23" s="52" t="s">
        <v>145</v>
      </c>
      <c r="B23" s="51">
        <v>13</v>
      </c>
      <c r="C23" s="101" t="s">
        <v>144</v>
      </c>
      <c r="D23" s="103" t="s">
        <v>142</v>
      </c>
      <c r="E23" s="103" t="s">
        <v>142</v>
      </c>
      <c r="F23" s="103" t="s">
        <v>142</v>
      </c>
      <c r="G23" s="103" t="s">
        <v>142</v>
      </c>
      <c r="H23" s="103" t="s">
        <v>143</v>
      </c>
      <c r="I23" s="103" t="s">
        <v>142</v>
      </c>
      <c r="J23" s="93"/>
      <c r="K23" s="76" t="s">
        <v>142</v>
      </c>
      <c r="L23" s="76" t="s">
        <v>142</v>
      </c>
      <c r="M23" s="76" t="s">
        <v>142</v>
      </c>
    </row>
    <row r="24" spans="1:13" ht="51">
      <c r="A24" s="52" t="s">
        <v>127</v>
      </c>
      <c r="B24" s="51">
        <v>14</v>
      </c>
      <c r="C24" s="101" t="s">
        <v>141</v>
      </c>
      <c r="D24" s="103" t="s">
        <v>11</v>
      </c>
      <c r="E24" s="103" t="s">
        <v>11</v>
      </c>
      <c r="F24" s="103" t="s">
        <v>11</v>
      </c>
      <c r="G24" s="103" t="s">
        <v>11</v>
      </c>
      <c r="H24" s="103" t="s">
        <v>11</v>
      </c>
      <c r="I24" s="103" t="s">
        <v>11</v>
      </c>
      <c r="J24" s="93"/>
      <c r="K24" s="76" t="s">
        <v>11</v>
      </c>
      <c r="L24" s="76" t="s">
        <v>11</v>
      </c>
      <c r="M24" s="76" t="s">
        <v>11</v>
      </c>
    </row>
    <row r="25" spans="1:13">
      <c r="A25" s="52" t="s">
        <v>140</v>
      </c>
      <c r="B25" s="51">
        <v>15</v>
      </c>
      <c r="C25" s="101" t="s">
        <v>139</v>
      </c>
      <c r="D25" s="103" t="s">
        <v>136</v>
      </c>
      <c r="E25" s="103" t="s">
        <v>136</v>
      </c>
      <c r="F25" s="103" t="s">
        <v>136</v>
      </c>
      <c r="G25" s="103" t="s">
        <v>138</v>
      </c>
      <c r="H25" s="103" t="s">
        <v>136</v>
      </c>
      <c r="I25" s="103" t="s">
        <v>136</v>
      </c>
      <c r="J25" s="93"/>
      <c r="K25" s="76" t="s">
        <v>137</v>
      </c>
      <c r="L25" s="76" t="s">
        <v>137</v>
      </c>
      <c r="M25" s="76" t="s">
        <v>136</v>
      </c>
    </row>
    <row r="26" spans="1:13" ht="25.5">
      <c r="A26" s="52" t="s">
        <v>135</v>
      </c>
      <c r="B26" s="51">
        <v>16</v>
      </c>
      <c r="C26" s="101" t="s">
        <v>134</v>
      </c>
      <c r="D26" s="103" t="s">
        <v>132</v>
      </c>
      <c r="E26" s="103" t="s">
        <v>133</v>
      </c>
      <c r="F26" s="103" t="s">
        <v>133</v>
      </c>
      <c r="G26" s="103" t="s">
        <v>132</v>
      </c>
      <c r="H26" s="103" t="s">
        <v>132</v>
      </c>
      <c r="I26" s="103" t="s">
        <v>132</v>
      </c>
      <c r="J26" s="93"/>
      <c r="K26" s="76" t="s">
        <v>132</v>
      </c>
      <c r="L26" s="76" t="s">
        <v>132</v>
      </c>
      <c r="M26" s="76" t="s">
        <v>133</v>
      </c>
    </row>
    <row r="27" spans="1:13" ht="25.5">
      <c r="A27" s="52" t="s">
        <v>127</v>
      </c>
      <c r="B27" s="51">
        <v>17</v>
      </c>
      <c r="C27" s="101" t="s">
        <v>131</v>
      </c>
      <c r="D27" s="103" t="s">
        <v>11</v>
      </c>
      <c r="E27" s="103" t="s">
        <v>11</v>
      </c>
      <c r="F27" s="103" t="s">
        <v>11</v>
      </c>
      <c r="G27" s="103" t="s">
        <v>11</v>
      </c>
      <c r="H27" s="103" t="s">
        <v>11</v>
      </c>
      <c r="I27" s="103" t="s">
        <v>11</v>
      </c>
      <c r="J27" s="93"/>
      <c r="K27" s="76" t="s">
        <v>11</v>
      </c>
      <c r="L27" s="76" t="s">
        <v>11</v>
      </c>
      <c r="M27" s="76" t="s">
        <v>11</v>
      </c>
    </row>
    <row r="28" spans="1:13" ht="25.5">
      <c r="A28" s="52" t="s">
        <v>127</v>
      </c>
      <c r="B28" s="51">
        <v>18</v>
      </c>
      <c r="C28" s="101" t="s">
        <v>130</v>
      </c>
      <c r="D28" s="103" t="s">
        <v>24</v>
      </c>
      <c r="E28" s="103" t="s">
        <v>11</v>
      </c>
      <c r="F28" s="103" t="s">
        <v>11</v>
      </c>
      <c r="G28" s="103" t="s">
        <v>24</v>
      </c>
      <c r="H28" s="103" t="s">
        <v>11</v>
      </c>
      <c r="I28" s="103" t="s">
        <v>24</v>
      </c>
      <c r="J28" s="93"/>
      <c r="K28" s="76" t="s">
        <v>11</v>
      </c>
      <c r="L28" s="76" t="s">
        <v>11</v>
      </c>
      <c r="M28" s="76" t="s">
        <v>11</v>
      </c>
    </row>
    <row r="29" spans="1:13" ht="25.5">
      <c r="A29" s="52" t="s">
        <v>129</v>
      </c>
      <c r="B29" s="51">
        <v>19</v>
      </c>
      <c r="C29" s="101" t="s">
        <v>128</v>
      </c>
      <c r="D29" s="105"/>
      <c r="E29" s="105"/>
      <c r="F29" s="105"/>
      <c r="G29" s="105"/>
      <c r="H29" s="105"/>
      <c r="I29" s="105"/>
      <c r="J29" s="95"/>
      <c r="K29" s="78"/>
      <c r="L29" s="78"/>
      <c r="M29" s="78"/>
    </row>
    <row r="30" spans="1:13" ht="25.5">
      <c r="A30" s="52" t="s">
        <v>127</v>
      </c>
      <c r="B30" s="51">
        <v>20</v>
      </c>
      <c r="C30" s="101" t="s">
        <v>126</v>
      </c>
      <c r="D30" s="103"/>
      <c r="E30" s="103"/>
      <c r="F30" s="103"/>
      <c r="G30" s="103"/>
      <c r="H30" s="103"/>
      <c r="I30" s="103"/>
      <c r="J30" s="93"/>
      <c r="K30" s="76"/>
      <c r="L30" s="76"/>
      <c r="M30" s="76"/>
    </row>
    <row r="31" spans="1:13" ht="95.1" customHeight="1">
      <c r="A31" s="52"/>
      <c r="B31" s="51">
        <v>21</v>
      </c>
      <c r="C31" s="101" t="s">
        <v>125</v>
      </c>
      <c r="D31" s="106"/>
      <c r="E31" s="106" t="s">
        <v>248</v>
      </c>
      <c r="F31" s="106"/>
      <c r="G31" s="106" t="s">
        <v>245</v>
      </c>
      <c r="H31" s="106"/>
      <c r="I31" s="106" t="s">
        <v>122</v>
      </c>
      <c r="J31" s="96"/>
      <c r="K31" s="79" t="s">
        <v>123</v>
      </c>
      <c r="L31" s="79" t="s">
        <v>123</v>
      </c>
      <c r="M31" s="79" t="s">
        <v>124</v>
      </c>
    </row>
  </sheetData>
  <mergeCells count="1">
    <mergeCell ref="K3:M3"/>
  </mergeCells>
  <dataValidations count="13">
    <dataValidation type="list" allowBlank="1" showInputMessage="1" showErrorMessage="1" sqref="D14:M14" xr:uid="{00000000-0002-0000-0200-000000000000}">
      <formula1>"Well, Mixed, Poorly"</formula1>
    </dataValidation>
    <dataValidation type="list" allowBlank="1" showInputMessage="1" showErrorMessage="1" sqref="D13:M13" xr:uid="{00000000-0002-0000-0200-000001000000}">
      <formula1>"Sufficient, Incomplete, None"</formula1>
    </dataValidation>
    <dataValidation type="list" allowBlank="1" showInputMessage="1" showErrorMessage="1" sqref="D12:M12" xr:uid="{00000000-0002-0000-0200-000002000000}">
      <formula1>"0-10%, 11-20%, 21-30%, 31-40%, 41-50%, 51-60%, 61-70%, 71-80%, 81-90%, 91-100%"</formula1>
    </dataValidation>
    <dataValidation type="list" allowBlank="1" showInputMessage="1" showErrorMessage="1" sqref="D26:M26" xr:uid="{00000000-0002-0000-0200-000003000000}">
      <formula1>"Likely, Possible, Unlikely"</formula1>
    </dataValidation>
    <dataValidation type="list" allowBlank="1" showInputMessage="1" showErrorMessage="1" sqref="D29:M29" xr:uid="{00000000-0002-0000-0200-000004000000}">
      <formula1>"Acoustic, Larval, Aerial, Other (explain below)"</formula1>
    </dataValidation>
    <dataValidation type="list" allowBlank="1" showInputMessage="1" showErrorMessage="1" sqref="D19:M19" xr:uid="{00000000-0002-0000-0200-000005000000}">
      <formula1>"Set, trip, OTH"</formula1>
    </dataValidation>
    <dataValidation type="list" allowBlank="1" showInputMessage="1" showErrorMessage="1" sqref="D11:M11 D15:M17" xr:uid="{00000000-0002-0000-0200-000006000000}">
      <formula1>"Yes, No, NA"</formula1>
    </dataValidation>
    <dataValidation type="list" allowBlank="1" showInputMessage="1" showErrorMessage="1" sqref="D22:M23" xr:uid="{00000000-0002-0000-0200-000007000000}">
      <formula1>"None, Few, Many"</formula1>
    </dataValidation>
    <dataValidation type="list" allowBlank="1" showInputMessage="1" showErrorMessage="1" sqref="D18:M18" xr:uid="{00000000-0002-0000-0200-000008000000}">
      <formula1>"Atlantic, Atl N, Atl S, Atl NW, Atl NE, Atl SW, Atl SE, Tropical, Med, Localised (&lt; 10 x 10 degrees)"</formula1>
    </dataValidation>
    <dataValidation type="list" allowBlank="1" showInputMessage="1" showErrorMessage="1" sqref="D25:M25" xr:uid="{00000000-0002-0000-0200-000009000000}">
      <formula1>"High, Medium, Low, Variable"</formula1>
    </dataValidation>
    <dataValidation type="list" allowBlank="1" showInputMessage="1" showErrorMessage="1" sqref="D21:M21" xr:uid="{00000000-0002-0000-0200-00000A000000}">
      <formula1>"0-5 years, 6-10 years, 11-20 years, longer than 20 years"</formula1>
    </dataValidation>
    <dataValidation type="list" allowBlank="1" showInputMessage="1" showErrorMessage="1" sqref="D20:M20" xr:uid="{00000000-0002-0000-0200-00000B000000}">
      <formula1>"1-5, 6-10, 11 or more"</formula1>
    </dataValidation>
    <dataValidation type="list" allowBlank="1" showInputMessage="1" showErrorMessage="1" sqref="D27:M28 D30:M30 D24:M24" xr:uid="{00000000-0002-0000-0200-00000C000000}">
      <formula1>"Yes, 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4"/>
  <sheetViews>
    <sheetView zoomScale="115" zoomScaleNormal="115" workbookViewId="0">
      <selection activeCell="R4" sqref="R4:S4"/>
    </sheetView>
  </sheetViews>
  <sheetFormatPr defaultRowHeight="15"/>
  <cols>
    <col min="1" max="1" width="14.140625" customWidth="1"/>
  </cols>
  <sheetData>
    <row r="1" spans="1:23" s="12" customFormat="1" ht="12.75">
      <c r="A1" s="16" t="s">
        <v>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s="12" customFormat="1" ht="12.75">
      <c r="A2" s="33" t="s">
        <v>54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 t="s">
        <v>279</v>
      </c>
      <c r="S2" s="15"/>
      <c r="T2" s="15"/>
      <c r="U2" s="15"/>
      <c r="V2" s="15"/>
      <c r="W2" s="15"/>
    </row>
    <row r="3" spans="1:23" s="12" customFormat="1" ht="12.75">
      <c r="A3" s="15"/>
      <c r="B3" s="16">
        <f>+COUNT(B14:B51)</f>
        <v>38</v>
      </c>
      <c r="C3" s="16"/>
      <c r="D3" s="16">
        <f>+COUNT(D14:D51)</f>
        <v>19</v>
      </c>
      <c r="E3" s="16"/>
      <c r="F3" s="16">
        <f>+COUNT(F14:F51)</f>
        <v>14</v>
      </c>
      <c r="G3" s="16"/>
      <c r="H3" s="16">
        <f>+COUNT(H14:H51)</f>
        <v>14</v>
      </c>
      <c r="I3" s="16"/>
      <c r="J3" s="16">
        <f>+COUNT(J14:J51)</f>
        <v>13</v>
      </c>
      <c r="K3" s="15"/>
      <c r="L3" s="16">
        <f>+COUNT(L14:L51)</f>
        <v>37</v>
      </c>
      <c r="M3" s="16"/>
      <c r="N3" s="16">
        <f>+COUNT(N14:N51)</f>
        <v>37</v>
      </c>
      <c r="O3" s="15"/>
      <c r="P3" s="16">
        <f>+COUNT(P14:P51)</f>
        <v>13</v>
      </c>
      <c r="Q3" s="16"/>
      <c r="R3" s="16">
        <f>+COUNT(R14:R51)</f>
        <v>17</v>
      </c>
      <c r="S3" s="16"/>
      <c r="T3" s="16"/>
      <c r="U3" s="15"/>
      <c r="V3" s="16"/>
      <c r="W3" s="16"/>
    </row>
    <row r="4" spans="1:23">
      <c r="A4" s="25" t="s">
        <v>1</v>
      </c>
      <c r="B4" s="135" t="s">
        <v>102</v>
      </c>
      <c r="C4" s="135"/>
      <c r="D4" s="135" t="s">
        <v>226</v>
      </c>
      <c r="E4" s="135"/>
      <c r="F4" s="135" t="s">
        <v>284</v>
      </c>
      <c r="G4" s="135"/>
      <c r="H4" s="135" t="s">
        <v>283</v>
      </c>
      <c r="I4" s="135"/>
      <c r="J4" s="135" t="s">
        <v>244</v>
      </c>
      <c r="K4" s="135"/>
      <c r="L4" s="135" t="s">
        <v>26</v>
      </c>
      <c r="M4" s="135"/>
      <c r="N4" s="135" t="s">
        <v>27</v>
      </c>
      <c r="O4" s="135"/>
      <c r="P4" s="135" t="s">
        <v>78</v>
      </c>
      <c r="Q4" s="135"/>
      <c r="R4" s="135" t="s">
        <v>278</v>
      </c>
      <c r="S4" s="135"/>
      <c r="U4" s="15"/>
    </row>
    <row r="5" spans="1:23" ht="27.75" customHeight="1">
      <c r="A5" s="36" t="s">
        <v>75</v>
      </c>
      <c r="B5" s="129" t="s">
        <v>11</v>
      </c>
      <c r="C5" s="129"/>
      <c r="D5" s="136" t="s">
        <v>74</v>
      </c>
      <c r="E5" s="136"/>
      <c r="F5" s="129" t="s">
        <v>282</v>
      </c>
      <c r="G5" s="129"/>
      <c r="H5" s="129"/>
      <c r="I5" s="129"/>
      <c r="J5" s="129" t="s">
        <v>24</v>
      </c>
      <c r="K5" s="129"/>
      <c r="L5" s="129" t="s">
        <v>281</v>
      </c>
      <c r="M5" s="129"/>
      <c r="N5" s="129"/>
      <c r="O5" s="129"/>
      <c r="P5" s="129" t="s">
        <v>11</v>
      </c>
      <c r="Q5" s="129"/>
      <c r="R5" s="136" t="s">
        <v>74</v>
      </c>
      <c r="S5" s="136"/>
      <c r="U5" s="15"/>
    </row>
    <row r="6" spans="1:23">
      <c r="A6" s="36" t="s">
        <v>101</v>
      </c>
      <c r="B6" s="129" t="s">
        <v>11</v>
      </c>
      <c r="C6" s="129"/>
      <c r="D6" s="136" t="s">
        <v>74</v>
      </c>
      <c r="E6" s="136"/>
      <c r="F6" s="129" t="s">
        <v>11</v>
      </c>
      <c r="G6" s="129"/>
      <c r="H6" s="129" t="s">
        <v>24</v>
      </c>
      <c r="I6" s="129"/>
      <c r="J6" s="129" t="s">
        <v>24</v>
      </c>
      <c r="K6" s="129"/>
      <c r="L6" s="129" t="s">
        <v>11</v>
      </c>
      <c r="M6" s="129"/>
      <c r="N6" s="129" t="s">
        <v>24</v>
      </c>
      <c r="O6" s="129"/>
      <c r="P6" s="129" t="s">
        <v>11</v>
      </c>
      <c r="Q6" s="129"/>
      <c r="R6" s="129" t="s">
        <v>24</v>
      </c>
      <c r="S6" s="129"/>
      <c r="U6" s="15"/>
    </row>
    <row r="7" spans="1:23">
      <c r="A7" s="37" t="s">
        <v>16</v>
      </c>
      <c r="B7" s="130"/>
      <c r="C7" s="130"/>
      <c r="D7" s="27"/>
      <c r="E7" s="27"/>
      <c r="F7" s="130"/>
      <c r="G7" s="130"/>
      <c r="H7" s="27"/>
      <c r="I7" s="27"/>
      <c r="J7" s="130"/>
      <c r="K7" s="130"/>
      <c r="L7" s="124"/>
      <c r="M7" s="124"/>
      <c r="N7" s="124"/>
      <c r="O7" s="124"/>
      <c r="P7" s="129"/>
      <c r="Q7" s="129"/>
      <c r="R7" s="129"/>
      <c r="S7" s="129"/>
      <c r="U7" s="15"/>
    </row>
    <row r="8" spans="1:23">
      <c r="A8" s="37" t="s">
        <v>8</v>
      </c>
      <c r="B8" s="130" t="s">
        <v>65</v>
      </c>
      <c r="C8" s="130"/>
      <c r="D8" s="130" t="s">
        <v>65</v>
      </c>
      <c r="E8" s="130"/>
      <c r="F8" s="130" t="s">
        <v>65</v>
      </c>
      <c r="G8" s="130"/>
      <c r="H8" s="130" t="s">
        <v>64</v>
      </c>
      <c r="I8" s="130"/>
      <c r="J8" s="130" t="s">
        <v>65</v>
      </c>
      <c r="K8" s="130"/>
      <c r="L8" s="130" t="s">
        <v>64</v>
      </c>
      <c r="M8" s="130"/>
      <c r="N8" s="130" t="s">
        <v>65</v>
      </c>
      <c r="O8" s="130"/>
      <c r="P8" s="130" t="s">
        <v>65</v>
      </c>
      <c r="Q8" s="130"/>
      <c r="R8" s="130" t="s">
        <v>65</v>
      </c>
      <c r="S8" s="130"/>
      <c r="U8" s="15"/>
    </row>
    <row r="9" spans="1:23">
      <c r="A9" s="37" t="s">
        <v>2</v>
      </c>
      <c r="B9" s="130" t="s">
        <v>66</v>
      </c>
      <c r="C9" s="130"/>
      <c r="D9" s="130" t="s">
        <v>67</v>
      </c>
      <c r="E9" s="130"/>
      <c r="F9" s="130" t="s">
        <v>67</v>
      </c>
      <c r="G9" s="130"/>
      <c r="H9" s="130" t="s">
        <v>67</v>
      </c>
      <c r="I9" s="130"/>
      <c r="J9" s="130" t="s">
        <v>67</v>
      </c>
      <c r="K9" s="130"/>
      <c r="L9" s="130" t="s">
        <v>67</v>
      </c>
      <c r="M9" s="130"/>
      <c r="N9" s="130" t="s">
        <v>67</v>
      </c>
      <c r="O9" s="130"/>
      <c r="P9" s="130" t="s">
        <v>67</v>
      </c>
      <c r="Q9" s="130"/>
      <c r="R9" s="130" t="s">
        <v>67</v>
      </c>
      <c r="S9" s="130"/>
      <c r="U9" s="15"/>
    </row>
    <row r="10" spans="1:23">
      <c r="A10" s="37" t="s">
        <v>3</v>
      </c>
      <c r="B10" s="125" t="s">
        <v>45</v>
      </c>
      <c r="C10" s="125"/>
      <c r="D10" s="125" t="s">
        <v>47</v>
      </c>
      <c r="E10" s="125"/>
      <c r="F10" s="125" t="s">
        <v>47</v>
      </c>
      <c r="G10" s="125"/>
      <c r="H10" s="125" t="s">
        <v>47</v>
      </c>
      <c r="I10" s="125"/>
      <c r="J10" s="125" t="s">
        <v>50</v>
      </c>
      <c r="K10" s="125"/>
      <c r="L10" s="125" t="s">
        <v>56</v>
      </c>
      <c r="M10" s="125"/>
      <c r="N10" s="125" t="s">
        <v>56</v>
      </c>
      <c r="O10" s="125"/>
      <c r="P10" s="124" t="s">
        <v>56</v>
      </c>
      <c r="Q10" s="124"/>
      <c r="R10" s="124" t="s">
        <v>47</v>
      </c>
      <c r="S10" s="124"/>
      <c r="U10" s="15"/>
    </row>
    <row r="11" spans="1:23">
      <c r="A11" s="37" t="s">
        <v>4</v>
      </c>
      <c r="B11" s="124" t="s">
        <v>12</v>
      </c>
      <c r="C11" s="124"/>
      <c r="D11" s="124"/>
      <c r="E11" s="124"/>
      <c r="F11" s="124" t="s">
        <v>48</v>
      </c>
      <c r="G11" s="124"/>
      <c r="H11" s="124" t="s">
        <v>48</v>
      </c>
      <c r="I11" s="124"/>
      <c r="J11" s="124" t="s">
        <v>49</v>
      </c>
      <c r="K11" s="124"/>
      <c r="L11" s="124"/>
      <c r="M11" s="124"/>
      <c r="N11" s="124"/>
      <c r="O11" s="124"/>
      <c r="P11" s="124"/>
      <c r="Q11" s="124"/>
      <c r="R11" s="124"/>
      <c r="S11" s="124"/>
      <c r="U11" s="15"/>
    </row>
    <row r="12" spans="1:23">
      <c r="A12" s="37" t="s">
        <v>5</v>
      </c>
      <c r="B12" s="134" t="s">
        <v>44</v>
      </c>
      <c r="C12" s="134"/>
      <c r="D12" s="134" t="s">
        <v>79</v>
      </c>
      <c r="E12" s="134"/>
      <c r="F12" s="134" t="s">
        <v>46</v>
      </c>
      <c r="G12" s="134"/>
      <c r="H12" s="134" t="s">
        <v>46</v>
      </c>
      <c r="I12" s="134"/>
      <c r="J12" s="134" t="s">
        <v>46</v>
      </c>
      <c r="K12" s="134"/>
      <c r="L12" s="134" t="s">
        <v>55</v>
      </c>
      <c r="M12" s="134"/>
      <c r="N12" s="134" t="s">
        <v>55</v>
      </c>
      <c r="O12" s="134"/>
      <c r="P12" s="134" t="s">
        <v>77</v>
      </c>
      <c r="Q12" s="134"/>
      <c r="R12" s="134" t="s">
        <v>277</v>
      </c>
      <c r="S12" s="134"/>
      <c r="U12" s="15"/>
    </row>
    <row r="13" spans="1:23">
      <c r="A13" s="28" t="s">
        <v>6</v>
      </c>
      <c r="B13" s="45" t="s">
        <v>20</v>
      </c>
      <c r="C13" s="45" t="s">
        <v>0</v>
      </c>
      <c r="D13" s="45" t="s">
        <v>20</v>
      </c>
      <c r="E13" s="45" t="s">
        <v>0</v>
      </c>
      <c r="F13" s="45" t="s">
        <v>20</v>
      </c>
      <c r="G13" s="45" t="s">
        <v>0</v>
      </c>
      <c r="H13" s="45" t="s">
        <v>20</v>
      </c>
      <c r="I13" s="45" t="s">
        <v>0</v>
      </c>
      <c r="J13" s="45" t="s">
        <v>69</v>
      </c>
      <c r="K13" s="45" t="s">
        <v>0</v>
      </c>
      <c r="L13" s="45" t="s">
        <v>20</v>
      </c>
      <c r="M13" s="45" t="s">
        <v>52</v>
      </c>
      <c r="N13" s="45" t="s">
        <v>20</v>
      </c>
      <c r="O13" s="45" t="s">
        <v>52</v>
      </c>
      <c r="P13" s="45" t="s">
        <v>20</v>
      </c>
      <c r="Q13" s="45" t="s">
        <v>0</v>
      </c>
      <c r="R13" s="45" t="s">
        <v>20</v>
      </c>
      <c r="S13" s="45" t="s">
        <v>0</v>
      </c>
    </row>
    <row r="14" spans="1:23">
      <c r="A14" s="27">
        <v>1987</v>
      </c>
      <c r="B14" s="41">
        <v>181.7</v>
      </c>
      <c r="C14" s="41">
        <v>9.2845349477160166E-2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1:23">
      <c r="A15" s="27">
        <v>1988</v>
      </c>
      <c r="B15" s="41">
        <v>213.31</v>
      </c>
      <c r="C15" s="41">
        <v>9.7838826121607048E-2</v>
      </c>
      <c r="D15" s="41"/>
      <c r="E15" s="41"/>
      <c r="F15" s="41"/>
      <c r="G15" s="41"/>
      <c r="H15" s="41"/>
      <c r="I15" s="41"/>
      <c r="J15" s="41"/>
      <c r="K15" s="41"/>
      <c r="L15" s="41">
        <v>11.7582</v>
      </c>
      <c r="M15" s="41">
        <v>0.13222261910836691</v>
      </c>
      <c r="N15" s="41">
        <v>128.57499999999999</v>
      </c>
      <c r="O15" s="41">
        <v>0.18425821504958195</v>
      </c>
      <c r="P15" s="41"/>
      <c r="Q15" s="41"/>
      <c r="R15" s="41"/>
      <c r="S15" s="41"/>
    </row>
    <row r="16" spans="1:23">
      <c r="A16" s="27">
        <v>1989</v>
      </c>
      <c r="B16" s="41">
        <v>247.25</v>
      </c>
      <c r="C16" s="41">
        <v>0.13435793731041457</v>
      </c>
      <c r="D16" s="41"/>
      <c r="E16" s="41"/>
      <c r="F16" s="41"/>
      <c r="G16" s="41"/>
      <c r="H16" s="41"/>
      <c r="I16" s="41"/>
      <c r="J16" s="41"/>
      <c r="K16" s="41"/>
      <c r="L16" s="41">
        <v>4.1086</v>
      </c>
      <c r="M16" s="41">
        <v>0.23314511025653506</v>
      </c>
      <c r="N16" s="41">
        <v>115.4062</v>
      </c>
      <c r="O16" s="41">
        <v>0.29314716193757356</v>
      </c>
      <c r="P16" s="41"/>
      <c r="Q16" s="41"/>
      <c r="R16" s="41"/>
      <c r="S16" s="41"/>
    </row>
    <row r="17" spans="1:19">
      <c r="A17" s="27">
        <v>1990</v>
      </c>
      <c r="B17" s="41">
        <v>186.44</v>
      </c>
      <c r="C17" s="41">
        <v>7.7236644496889079E-2</v>
      </c>
      <c r="D17" s="41"/>
      <c r="E17" s="41"/>
      <c r="F17" s="41"/>
      <c r="G17" s="41"/>
      <c r="H17" s="41"/>
      <c r="I17" s="41"/>
      <c r="J17" s="41"/>
      <c r="K17" s="41"/>
      <c r="L17" s="41">
        <v>4.6593</v>
      </c>
      <c r="M17" s="41">
        <v>0.20977400038632413</v>
      </c>
      <c r="N17" s="41">
        <v>122.1755</v>
      </c>
      <c r="O17" s="41">
        <v>0.26478221902099847</v>
      </c>
      <c r="P17" s="41"/>
      <c r="Q17" s="41"/>
      <c r="R17" s="41">
        <v>8.31</v>
      </c>
      <c r="S17" s="41"/>
    </row>
    <row r="18" spans="1:19">
      <c r="A18" s="27">
        <v>1991</v>
      </c>
      <c r="B18" s="41">
        <v>228.97</v>
      </c>
      <c r="C18" s="41">
        <v>6.3545442634406257E-2</v>
      </c>
      <c r="D18" s="41">
        <v>88.467335705598799</v>
      </c>
      <c r="E18" s="41"/>
      <c r="F18" s="41"/>
      <c r="G18" s="41"/>
      <c r="H18" s="41"/>
      <c r="I18" s="41"/>
      <c r="J18" s="41"/>
      <c r="K18" s="41"/>
      <c r="L18" s="41">
        <v>7.3097000000000003</v>
      </c>
      <c r="M18" s="41">
        <v>0.13271406487270337</v>
      </c>
      <c r="N18" s="41">
        <v>86.7179</v>
      </c>
      <c r="O18" s="41">
        <v>0.18281808023487653</v>
      </c>
      <c r="P18" s="41"/>
      <c r="Q18" s="41"/>
      <c r="R18" s="41">
        <v>9.8000000000000007</v>
      </c>
      <c r="S18" s="41"/>
    </row>
    <row r="19" spans="1:19">
      <c r="A19" s="27">
        <v>1992</v>
      </c>
      <c r="B19" s="41">
        <v>100.21</v>
      </c>
      <c r="C19" s="41">
        <v>6.14709110867179E-2</v>
      </c>
      <c r="D19" s="41">
        <v>66.100051036905811</v>
      </c>
      <c r="E19" s="41"/>
      <c r="F19" s="41"/>
      <c r="G19" s="41"/>
      <c r="H19" s="41"/>
      <c r="I19" s="41"/>
      <c r="J19" s="41"/>
      <c r="K19" s="41"/>
      <c r="L19" s="41">
        <v>8.2661999999999995</v>
      </c>
      <c r="M19" s="41">
        <v>0.13224940117587283</v>
      </c>
      <c r="N19" s="41">
        <v>74.2483</v>
      </c>
      <c r="O19" s="41">
        <v>0.18282977522717692</v>
      </c>
      <c r="P19" s="41"/>
      <c r="Q19" s="41"/>
      <c r="R19" s="41">
        <v>16.87</v>
      </c>
      <c r="S19" s="41"/>
    </row>
    <row r="20" spans="1:19">
      <c r="A20" s="27">
        <v>1993</v>
      </c>
      <c r="B20" s="41">
        <v>151.63999999999999</v>
      </c>
      <c r="C20" s="41">
        <v>6.4099182273806399E-2</v>
      </c>
      <c r="D20" s="41">
        <v>68.763320710658888</v>
      </c>
      <c r="E20" s="41"/>
      <c r="F20" s="41"/>
      <c r="G20" s="41"/>
      <c r="H20" s="41"/>
      <c r="I20" s="41"/>
      <c r="J20" s="41"/>
      <c r="K20" s="41"/>
      <c r="L20" s="41">
        <v>8.2301000000000002</v>
      </c>
      <c r="M20" s="41">
        <v>0.13149293447224214</v>
      </c>
      <c r="N20" s="41">
        <v>98.033900000000003</v>
      </c>
      <c r="O20" s="41">
        <v>0.18177079561253812</v>
      </c>
      <c r="P20" s="41"/>
      <c r="Q20" s="41"/>
      <c r="R20" s="41">
        <v>13.04</v>
      </c>
      <c r="S20" s="41"/>
    </row>
    <row r="21" spans="1:19">
      <c r="A21" s="27">
        <v>1994</v>
      </c>
      <c r="B21" s="41">
        <v>175.7</v>
      </c>
      <c r="C21" s="41">
        <v>6.1752988047808766E-2</v>
      </c>
      <c r="D21" s="41">
        <v>90.59594328549241</v>
      </c>
      <c r="E21" s="41"/>
      <c r="F21" s="41"/>
      <c r="G21" s="41"/>
      <c r="H21" s="41"/>
      <c r="I21" s="41"/>
      <c r="J21" s="41"/>
      <c r="K21" s="41"/>
      <c r="L21" s="41">
        <v>10.362</v>
      </c>
      <c r="M21" s="41">
        <v>0.13071800810654313</v>
      </c>
      <c r="N21" s="41">
        <v>119.9387</v>
      </c>
      <c r="O21" s="41">
        <v>0.18113336229257113</v>
      </c>
      <c r="P21" s="41"/>
      <c r="Q21" s="41"/>
      <c r="R21" s="41">
        <v>9.49</v>
      </c>
      <c r="S21" s="41"/>
    </row>
    <row r="22" spans="1:19">
      <c r="A22" s="27">
        <v>1995</v>
      </c>
      <c r="B22" s="41">
        <v>119.98</v>
      </c>
      <c r="C22" s="41">
        <v>7.4095682613768962E-2</v>
      </c>
      <c r="D22" s="41">
        <v>94.617414860395797</v>
      </c>
      <c r="E22" s="41"/>
      <c r="F22" s="41"/>
      <c r="G22" s="41"/>
      <c r="H22" s="41"/>
      <c r="I22" s="41"/>
      <c r="J22" s="41"/>
      <c r="K22" s="41"/>
      <c r="L22" s="41">
        <v>8.7539999999999996</v>
      </c>
      <c r="M22" s="41">
        <v>0.13014621887137309</v>
      </c>
      <c r="N22" s="41">
        <v>94.240399999999994</v>
      </c>
      <c r="O22" s="41">
        <v>0.18057754423792771</v>
      </c>
      <c r="P22" s="41"/>
      <c r="Q22" s="41"/>
      <c r="R22" s="41">
        <v>14.65</v>
      </c>
      <c r="S22" s="41"/>
    </row>
    <row r="23" spans="1:19">
      <c r="A23" s="27">
        <v>1996</v>
      </c>
      <c r="B23" s="41">
        <v>181.7</v>
      </c>
      <c r="C23" s="41">
        <v>9.2845349477160166E-2</v>
      </c>
      <c r="D23" s="41">
        <v>94.3443415443964</v>
      </c>
      <c r="E23" s="41"/>
      <c r="F23" s="41"/>
      <c r="G23" s="41"/>
      <c r="H23" s="41"/>
      <c r="I23" s="41"/>
      <c r="J23" s="41"/>
      <c r="K23" s="41"/>
      <c r="L23" s="41">
        <v>5.9795999999999996</v>
      </c>
      <c r="M23" s="41">
        <v>0.13099538430664259</v>
      </c>
      <c r="N23" s="41">
        <v>80.784000000000006</v>
      </c>
      <c r="O23" s="41">
        <v>0.18135274311744898</v>
      </c>
      <c r="P23" s="41"/>
      <c r="Q23" s="41"/>
      <c r="R23" s="41">
        <v>9.33</v>
      </c>
      <c r="S23" s="41"/>
    </row>
    <row r="24" spans="1:19">
      <c r="A24" s="27">
        <v>1997</v>
      </c>
      <c r="B24" s="41">
        <v>256.77999999999997</v>
      </c>
      <c r="C24" s="41">
        <v>9.6424955214580596E-2</v>
      </c>
      <c r="D24" s="41">
        <v>101.069041341145</v>
      </c>
      <c r="E24" s="41"/>
      <c r="F24" s="41"/>
      <c r="G24" s="41"/>
      <c r="H24" s="41"/>
      <c r="I24" s="41"/>
      <c r="J24" s="41"/>
      <c r="K24" s="41"/>
      <c r="L24" s="41">
        <v>5.742</v>
      </c>
      <c r="M24" s="41">
        <v>0.13279345175896901</v>
      </c>
      <c r="N24" s="41">
        <v>82.593900000000005</v>
      </c>
      <c r="O24" s="41">
        <v>0.1829021271546688</v>
      </c>
      <c r="P24" s="41"/>
      <c r="Q24" s="41"/>
      <c r="R24" s="41">
        <v>14.04</v>
      </c>
      <c r="S24" s="41"/>
    </row>
    <row r="25" spans="1:19">
      <c r="A25" s="27">
        <v>1998</v>
      </c>
      <c r="B25" s="41">
        <v>239.03</v>
      </c>
      <c r="C25" s="41">
        <v>6.6393339748148761E-2</v>
      </c>
      <c r="D25" s="41">
        <v>144.93701346772801</v>
      </c>
      <c r="E25" s="41"/>
      <c r="F25" s="41"/>
      <c r="G25" s="41"/>
      <c r="H25" s="41"/>
      <c r="I25" s="41"/>
      <c r="J25" s="41"/>
      <c r="K25" s="41"/>
      <c r="L25" s="41">
        <v>7.0884</v>
      </c>
      <c r="M25" s="41">
        <v>0.13184921844139721</v>
      </c>
      <c r="N25" s="41">
        <v>92.999899999999997</v>
      </c>
      <c r="O25" s="41">
        <v>0.18231955088123752</v>
      </c>
      <c r="P25" s="41"/>
      <c r="Q25" s="41"/>
      <c r="R25" s="41">
        <v>10.119999999999999</v>
      </c>
      <c r="S25" s="41"/>
    </row>
    <row r="26" spans="1:19">
      <c r="A26" s="27">
        <v>1999</v>
      </c>
      <c r="B26" s="41">
        <v>208.38</v>
      </c>
      <c r="C26" s="41">
        <v>5.3412035704002311E-2</v>
      </c>
      <c r="D26" s="41">
        <v>101.89597173168097</v>
      </c>
      <c r="E26" s="41"/>
      <c r="F26" s="41"/>
      <c r="G26" s="41"/>
      <c r="H26" s="41"/>
      <c r="I26" s="41"/>
      <c r="J26" s="41"/>
      <c r="K26" s="41"/>
      <c r="L26" s="41">
        <v>5.6138000000000003</v>
      </c>
      <c r="M26" s="41">
        <v>0.13256617620862873</v>
      </c>
      <c r="N26" s="41">
        <v>85.875399999999999</v>
      </c>
      <c r="O26" s="41">
        <v>0.1829056982558451</v>
      </c>
      <c r="P26" s="41"/>
      <c r="Q26" s="41"/>
      <c r="R26" s="41">
        <v>12.71</v>
      </c>
      <c r="S26" s="41"/>
    </row>
    <row r="27" spans="1:19">
      <c r="A27" s="27">
        <v>2000</v>
      </c>
      <c r="B27" s="41">
        <v>171.51</v>
      </c>
      <c r="C27" s="41">
        <v>4.9268264241152118E-2</v>
      </c>
      <c r="D27" s="41">
        <v>134.68064809360803</v>
      </c>
      <c r="E27" s="41"/>
      <c r="F27" s="41"/>
      <c r="G27" s="41"/>
      <c r="H27" s="41"/>
      <c r="I27" s="41"/>
      <c r="J27" s="41"/>
      <c r="K27" s="41"/>
      <c r="L27" s="41">
        <v>4.6590999999999996</v>
      </c>
      <c r="M27" s="41">
        <v>0.23180442574746199</v>
      </c>
      <c r="N27" s="41">
        <v>121.4987</v>
      </c>
      <c r="O27" s="41">
        <v>0.29951596189918078</v>
      </c>
      <c r="P27" s="41"/>
      <c r="Q27" s="41"/>
      <c r="R27" s="41">
        <v>14.92</v>
      </c>
      <c r="S27" s="41"/>
    </row>
    <row r="28" spans="1:19">
      <c r="A28" s="27">
        <v>2001</v>
      </c>
      <c r="B28" s="41">
        <v>174.74</v>
      </c>
      <c r="C28" s="41">
        <v>5.7571248712372666E-2</v>
      </c>
      <c r="D28" s="41">
        <v>181.62454039875297</v>
      </c>
      <c r="E28" s="41"/>
      <c r="F28" s="41"/>
      <c r="G28" s="41"/>
      <c r="H28" s="41"/>
      <c r="I28" s="41"/>
      <c r="J28" s="41"/>
      <c r="K28" s="41"/>
      <c r="L28" s="41">
        <v>6.0998000000000001</v>
      </c>
      <c r="M28" s="41">
        <v>0.14033246991704645</v>
      </c>
      <c r="N28" s="41">
        <v>83.625399999999999</v>
      </c>
      <c r="O28" s="41">
        <v>0.19159848562757251</v>
      </c>
      <c r="P28" s="41"/>
      <c r="Q28" s="41"/>
      <c r="R28" s="41">
        <v>13.06</v>
      </c>
      <c r="S28" s="41"/>
    </row>
    <row r="29" spans="1:19">
      <c r="A29" s="27">
        <v>2002</v>
      </c>
      <c r="B29" s="41">
        <v>143.12</v>
      </c>
      <c r="C29" s="41">
        <v>6.9661822247065408E-2</v>
      </c>
      <c r="D29" s="41">
        <v>140.32481066801699</v>
      </c>
      <c r="E29" s="41"/>
      <c r="F29" s="41"/>
      <c r="G29" s="41"/>
      <c r="H29" s="41"/>
      <c r="I29" s="41"/>
      <c r="J29" s="41"/>
      <c r="K29" s="41"/>
      <c r="L29" s="41">
        <v>11.2956</v>
      </c>
      <c r="M29" s="41">
        <v>0.13580509224830908</v>
      </c>
      <c r="N29" s="41">
        <v>125.3074</v>
      </c>
      <c r="O29" s="41">
        <v>0.18656918905028752</v>
      </c>
      <c r="P29" s="41"/>
      <c r="Q29" s="41"/>
      <c r="R29" s="41"/>
      <c r="S29" s="41"/>
    </row>
    <row r="30" spans="1:19">
      <c r="A30" s="27">
        <v>2003</v>
      </c>
      <c r="B30" s="41">
        <v>170.91</v>
      </c>
      <c r="C30" s="41">
        <v>5.6989058568837403E-2</v>
      </c>
      <c r="D30" s="41">
        <v>152.27809100162099</v>
      </c>
      <c r="E30" s="41"/>
      <c r="F30" s="41"/>
      <c r="G30" s="41"/>
      <c r="H30" s="41"/>
      <c r="I30" s="41"/>
      <c r="J30" s="41"/>
      <c r="K30" s="41"/>
      <c r="L30" s="41">
        <v>7.0759999999999996</v>
      </c>
      <c r="M30" s="41">
        <v>0.13849632560768796</v>
      </c>
      <c r="N30" s="41">
        <v>80.783600000000007</v>
      </c>
      <c r="O30" s="41">
        <v>0.19033937581390281</v>
      </c>
      <c r="P30" s="41"/>
      <c r="Q30" s="41"/>
      <c r="R30" s="41"/>
      <c r="S30" s="41"/>
    </row>
    <row r="31" spans="1:19">
      <c r="A31" s="27">
        <v>2004</v>
      </c>
      <c r="B31" s="41">
        <v>172.18</v>
      </c>
      <c r="C31" s="41">
        <v>5.1399697990475078E-2</v>
      </c>
      <c r="D31" s="41">
        <v>98.85778569132529</v>
      </c>
      <c r="E31" s="41"/>
      <c r="F31" s="41"/>
      <c r="G31" s="41"/>
      <c r="H31" s="41"/>
      <c r="I31" s="41"/>
      <c r="J31" s="41"/>
      <c r="K31" s="41"/>
      <c r="L31" s="41">
        <v>5.0777000000000001</v>
      </c>
      <c r="M31" s="41">
        <v>0.13840912224038443</v>
      </c>
      <c r="N31" s="41">
        <v>60.114199999999997</v>
      </c>
      <c r="O31" s="41">
        <v>0.18903520299696244</v>
      </c>
      <c r="P31" s="41"/>
      <c r="Q31" s="41"/>
      <c r="R31" s="41">
        <v>15.15</v>
      </c>
      <c r="S31" s="41"/>
    </row>
    <row r="32" spans="1:19">
      <c r="A32" s="27">
        <v>2005</v>
      </c>
      <c r="B32" s="41">
        <v>170.75</v>
      </c>
      <c r="C32" s="41">
        <v>4.8023426061493409E-2</v>
      </c>
      <c r="D32" s="41">
        <v>80.801293697656007</v>
      </c>
      <c r="E32" s="41"/>
      <c r="F32" s="41"/>
      <c r="G32" s="41"/>
      <c r="H32" s="41"/>
      <c r="I32" s="41"/>
      <c r="J32" s="41"/>
      <c r="K32" s="41"/>
      <c r="L32" s="41">
        <v>6.2751999999999999</v>
      </c>
      <c r="M32" s="41">
        <v>0.14315081591024986</v>
      </c>
      <c r="N32" s="41">
        <v>81.707099999999997</v>
      </c>
      <c r="O32" s="41">
        <v>0.19505036893978614</v>
      </c>
      <c r="P32" s="41"/>
      <c r="Q32" s="41"/>
      <c r="R32" s="41">
        <v>12.07</v>
      </c>
      <c r="S32" s="41"/>
    </row>
    <row r="33" spans="1:19">
      <c r="A33" s="27">
        <v>2006</v>
      </c>
      <c r="B33" s="41">
        <v>180.52</v>
      </c>
      <c r="C33" s="41">
        <v>5.2459561267449592E-2</v>
      </c>
      <c r="D33" s="41">
        <v>125.04793784732099</v>
      </c>
      <c r="E33" s="41"/>
      <c r="F33" s="41"/>
      <c r="G33" s="41"/>
      <c r="H33" s="41"/>
      <c r="I33" s="41"/>
      <c r="J33" s="41"/>
      <c r="K33" s="41"/>
      <c r="L33" s="41">
        <v>7.0103</v>
      </c>
      <c r="M33" s="41">
        <v>0.15086372908434734</v>
      </c>
      <c r="N33" s="41">
        <v>108.5994</v>
      </c>
      <c r="O33" s="41">
        <v>0.20428105495978799</v>
      </c>
      <c r="P33" s="41"/>
      <c r="Q33" s="41"/>
      <c r="R33" s="41">
        <v>30.74</v>
      </c>
      <c r="S33" s="41"/>
    </row>
    <row r="34" spans="1:19">
      <c r="A34" s="27">
        <v>2007</v>
      </c>
      <c r="B34" s="41">
        <v>183.8</v>
      </c>
      <c r="C34" s="41">
        <v>5.2067464635473341E-2</v>
      </c>
      <c r="D34" s="41">
        <v>239.99924094052997</v>
      </c>
      <c r="E34" s="41"/>
      <c r="F34" s="41"/>
      <c r="G34" s="41"/>
      <c r="H34" s="41"/>
      <c r="I34" s="41"/>
      <c r="J34" s="41"/>
      <c r="K34" s="41"/>
      <c r="L34" s="41">
        <v>9.3298000000000005</v>
      </c>
      <c r="M34" s="41">
        <v>0.13992797273253446</v>
      </c>
      <c r="N34" s="41">
        <v>118.58710000000001</v>
      </c>
      <c r="O34" s="41">
        <v>0.19177212361209608</v>
      </c>
      <c r="P34" s="41"/>
      <c r="Q34" s="41"/>
      <c r="R34" s="41"/>
      <c r="S34" s="41"/>
    </row>
    <row r="35" spans="1:19">
      <c r="A35" s="27">
        <v>2008</v>
      </c>
      <c r="B35" s="41">
        <v>171.93</v>
      </c>
      <c r="C35" s="41">
        <v>6.7643808526725996E-2</v>
      </c>
      <c r="D35" s="41">
        <v>208.17562577479887</v>
      </c>
      <c r="E35" s="41"/>
      <c r="F35" s="41"/>
      <c r="G35" s="41"/>
      <c r="H35" s="41"/>
      <c r="I35" s="41"/>
      <c r="J35" s="41"/>
      <c r="K35" s="41"/>
      <c r="L35" s="41">
        <v>8.6974</v>
      </c>
      <c r="M35" s="41">
        <v>0.13690298250051741</v>
      </c>
      <c r="N35" s="41">
        <v>153.37280000000001</v>
      </c>
      <c r="O35" s="41">
        <v>0.18763822529157712</v>
      </c>
      <c r="P35" s="41"/>
      <c r="Q35" s="41"/>
      <c r="R35" s="41">
        <v>3.29</v>
      </c>
      <c r="S35" s="41"/>
    </row>
    <row r="36" spans="1:19">
      <c r="A36" s="27">
        <v>2009</v>
      </c>
      <c r="B36" s="41">
        <v>159.22</v>
      </c>
      <c r="C36" s="41">
        <v>6.1047607084537124E-2</v>
      </c>
      <c r="D36" s="41">
        <v>123.387333996587</v>
      </c>
      <c r="E36" s="41"/>
      <c r="F36" s="41"/>
      <c r="G36" s="41"/>
      <c r="H36" s="41"/>
      <c r="I36" s="41"/>
      <c r="J36" s="41"/>
      <c r="K36" s="41"/>
      <c r="L36" s="41">
        <v>4.9981</v>
      </c>
      <c r="M36" s="41">
        <v>0.13395090134251014</v>
      </c>
      <c r="N36" s="41">
        <v>99.0274</v>
      </c>
      <c r="O36" s="41">
        <v>0.18438937102256547</v>
      </c>
      <c r="P36" s="41"/>
      <c r="Q36" s="41"/>
      <c r="R36" s="41">
        <v>1.97</v>
      </c>
      <c r="S36" s="41"/>
    </row>
    <row r="37" spans="1:19">
      <c r="A37" s="27">
        <v>2010</v>
      </c>
      <c r="B37" s="41">
        <v>178.51</v>
      </c>
      <c r="C37" s="41">
        <v>6.1789255503893338E-2</v>
      </c>
      <c r="D37" s="41"/>
      <c r="E37" s="41"/>
      <c r="F37" s="41">
        <v>336.73</v>
      </c>
      <c r="G37" s="41">
        <v>0.06</v>
      </c>
      <c r="H37" s="41">
        <v>8.9499999999999993</v>
      </c>
      <c r="I37" s="41">
        <v>0.06</v>
      </c>
      <c r="J37" s="41"/>
      <c r="K37" s="41"/>
      <c r="L37" s="41">
        <v>5.5175999999999998</v>
      </c>
      <c r="M37" s="41">
        <v>0.13379005364651297</v>
      </c>
      <c r="N37" s="41">
        <v>106.1998</v>
      </c>
      <c r="O37" s="41">
        <v>0.18374705037109298</v>
      </c>
      <c r="P37" s="41"/>
      <c r="Q37" s="41"/>
      <c r="R37" s="41"/>
      <c r="S37" s="41"/>
    </row>
    <row r="38" spans="1:19">
      <c r="A38" s="27">
        <v>2011</v>
      </c>
      <c r="B38" s="41">
        <v>149.11000000000001</v>
      </c>
      <c r="C38" s="41">
        <v>7.1088458185232364E-2</v>
      </c>
      <c r="D38" s="41"/>
      <c r="E38" s="41"/>
      <c r="F38" s="41">
        <v>246.91</v>
      </c>
      <c r="G38" s="41">
        <v>0.05</v>
      </c>
      <c r="H38" s="41">
        <v>7.69</v>
      </c>
      <c r="I38" s="41">
        <v>0.04</v>
      </c>
      <c r="J38" s="41"/>
      <c r="K38" s="41"/>
      <c r="L38" s="41">
        <v>6.2457000000000003</v>
      </c>
      <c r="M38" s="41">
        <v>0.13295547336567559</v>
      </c>
      <c r="N38" s="41">
        <v>101.9984</v>
      </c>
      <c r="O38" s="41">
        <v>0.18334601327079642</v>
      </c>
      <c r="P38" s="41"/>
      <c r="Q38" s="41"/>
      <c r="R38" s="41"/>
      <c r="S38" s="41"/>
    </row>
    <row r="39" spans="1:19">
      <c r="A39" s="27">
        <v>2012</v>
      </c>
      <c r="B39" s="41">
        <v>137.97999999999999</v>
      </c>
      <c r="C39" s="41">
        <v>7.9794173068560667E-2</v>
      </c>
      <c r="D39" s="41"/>
      <c r="E39" s="41"/>
      <c r="F39" s="41">
        <v>156.27000000000001</v>
      </c>
      <c r="G39" s="41">
        <v>0.05</v>
      </c>
      <c r="H39" s="41">
        <v>6.08</v>
      </c>
      <c r="I39" s="41">
        <v>0.04</v>
      </c>
      <c r="J39" s="85">
        <v>72.099999999999994</v>
      </c>
      <c r="K39" s="41"/>
      <c r="L39" s="41">
        <v>8.5123999999999995</v>
      </c>
      <c r="M39" s="41">
        <v>0.13398101592970257</v>
      </c>
      <c r="N39" s="41">
        <v>135.04740000000001</v>
      </c>
      <c r="O39" s="41">
        <v>0.18476549715137056</v>
      </c>
      <c r="P39" s="41">
        <v>111.1996</v>
      </c>
      <c r="Q39" s="41">
        <v>3.7499999999999999E-2</v>
      </c>
      <c r="R39" s="41"/>
      <c r="S39" s="41"/>
    </row>
    <row r="40" spans="1:19">
      <c r="A40" s="27">
        <v>2013</v>
      </c>
      <c r="B40" s="41">
        <v>217.8</v>
      </c>
      <c r="C40" s="41">
        <v>7.3875114784205692E-2</v>
      </c>
      <c r="D40" s="41"/>
      <c r="E40" s="41"/>
      <c r="F40" s="41">
        <v>171.67</v>
      </c>
      <c r="G40" s="41">
        <v>0.05</v>
      </c>
      <c r="H40" s="41">
        <v>5.9</v>
      </c>
      <c r="I40" s="41">
        <v>0.05</v>
      </c>
      <c r="J40" s="85">
        <v>140.19999999999999</v>
      </c>
      <c r="K40" s="41"/>
      <c r="L40" s="41">
        <v>6.6513</v>
      </c>
      <c r="M40" s="41">
        <v>0.13000466074301265</v>
      </c>
      <c r="N40" s="41">
        <v>89.253799999999998</v>
      </c>
      <c r="O40" s="41">
        <v>0.18037887462494592</v>
      </c>
      <c r="P40" s="41">
        <v>155.75700000000001</v>
      </c>
      <c r="Q40" s="41">
        <v>2.98E-2</v>
      </c>
      <c r="R40" s="41"/>
      <c r="S40" s="41"/>
    </row>
    <row r="41" spans="1:19">
      <c r="A41" s="27">
        <v>2014</v>
      </c>
      <c r="B41" s="41">
        <v>171.6</v>
      </c>
      <c r="C41" s="41">
        <v>5.9324009324009323E-2</v>
      </c>
      <c r="D41" s="41"/>
      <c r="E41" s="41"/>
      <c r="F41" s="41">
        <v>245.33</v>
      </c>
      <c r="G41" s="41">
        <v>0.05</v>
      </c>
      <c r="H41" s="41">
        <v>9.6</v>
      </c>
      <c r="I41" s="41">
        <v>0.05</v>
      </c>
      <c r="J41" s="85">
        <v>140.9</v>
      </c>
      <c r="K41" s="41"/>
      <c r="L41" s="41">
        <v>6.8518999999999997</v>
      </c>
      <c r="M41" s="41">
        <v>0.12999314058874181</v>
      </c>
      <c r="N41" s="41">
        <v>96.435199999999995</v>
      </c>
      <c r="O41" s="41">
        <v>0.18043100444650917</v>
      </c>
      <c r="P41" s="41">
        <v>77.266400000000004</v>
      </c>
      <c r="Q41" s="41">
        <v>3.9E-2</v>
      </c>
      <c r="R41" s="41"/>
      <c r="S41" s="41"/>
    </row>
    <row r="42" spans="1:19">
      <c r="A42" s="27">
        <v>2015</v>
      </c>
      <c r="B42" s="41">
        <v>148.27000000000001</v>
      </c>
      <c r="C42" s="41">
        <v>7.9247319080056652E-2</v>
      </c>
      <c r="D42" s="41"/>
      <c r="E42" s="41"/>
      <c r="F42" s="41">
        <v>158.99</v>
      </c>
      <c r="G42" s="41">
        <v>0.06</v>
      </c>
      <c r="H42" s="41">
        <v>5.36</v>
      </c>
      <c r="I42" s="41">
        <v>0.05</v>
      </c>
      <c r="J42" s="85">
        <v>180.3</v>
      </c>
      <c r="K42" s="41"/>
      <c r="L42" s="41">
        <v>6.8243</v>
      </c>
      <c r="M42" s="41">
        <v>0.12937590668640006</v>
      </c>
      <c r="N42" s="41">
        <v>86.127799999999993</v>
      </c>
      <c r="O42" s="41">
        <v>0.17991055152923913</v>
      </c>
      <c r="P42" s="41">
        <v>88.1798</v>
      </c>
      <c r="Q42" s="41">
        <v>4.7699999999999999E-2</v>
      </c>
      <c r="R42" s="41"/>
      <c r="S42" s="41"/>
    </row>
    <row r="43" spans="1:19">
      <c r="A43" s="27">
        <v>2016</v>
      </c>
      <c r="B43" s="41">
        <v>165.22</v>
      </c>
      <c r="C43" s="41">
        <v>6.0767461566396314E-2</v>
      </c>
      <c r="D43" s="41"/>
      <c r="E43" s="41"/>
      <c r="F43" s="41">
        <v>197.82</v>
      </c>
      <c r="G43" s="41">
        <v>0.06</v>
      </c>
      <c r="H43" s="41">
        <v>7.7</v>
      </c>
      <c r="I43" s="41">
        <v>0.05</v>
      </c>
      <c r="J43" s="85">
        <v>132.6</v>
      </c>
      <c r="K43" s="41"/>
      <c r="L43" s="41">
        <v>6.8734999999999999</v>
      </c>
      <c r="M43" s="41">
        <v>0.12964283116316289</v>
      </c>
      <c r="N43" s="41">
        <v>70.599199999999996</v>
      </c>
      <c r="O43" s="41">
        <v>0.18008561003524121</v>
      </c>
      <c r="P43" s="41">
        <v>87.318399999999997</v>
      </c>
      <c r="Q43" s="41">
        <v>5.3999999999999999E-2</v>
      </c>
      <c r="R43" s="41"/>
      <c r="S43" s="41"/>
    </row>
    <row r="44" spans="1:19">
      <c r="A44" s="27">
        <v>2017</v>
      </c>
      <c r="B44" s="41">
        <v>108.6</v>
      </c>
      <c r="C44" s="41">
        <v>0.12854511970534072</v>
      </c>
      <c r="D44" s="41"/>
      <c r="E44" s="41"/>
      <c r="F44" s="41">
        <v>179.97</v>
      </c>
      <c r="G44" s="41">
        <v>0.05</v>
      </c>
      <c r="H44" s="41">
        <v>6.46</v>
      </c>
      <c r="I44" s="41">
        <v>0.05</v>
      </c>
      <c r="J44" s="85">
        <v>117.7</v>
      </c>
      <c r="K44" s="41"/>
      <c r="L44" s="41">
        <v>6.4325999999999999</v>
      </c>
      <c r="M44" s="41">
        <v>0.15673289183222958</v>
      </c>
      <c r="N44" s="41">
        <v>124.6284</v>
      </c>
      <c r="O44" s="41">
        <v>0.21714392546161229</v>
      </c>
      <c r="P44" s="41">
        <v>57.423499999999997</v>
      </c>
      <c r="Q44" s="41">
        <v>3.1199999999999999E-2</v>
      </c>
      <c r="R44" s="41"/>
      <c r="S44" s="41"/>
    </row>
    <row r="45" spans="1:19">
      <c r="A45" s="27">
        <v>2018</v>
      </c>
      <c r="B45" s="41">
        <v>123.62</v>
      </c>
      <c r="C45" s="41">
        <v>8.1701989969260633E-2</v>
      </c>
      <c r="D45" s="41"/>
      <c r="E45" s="41"/>
      <c r="F45" s="41">
        <v>121.06</v>
      </c>
      <c r="G45" s="41">
        <v>7.0000000000000007E-2</v>
      </c>
      <c r="H45" s="41">
        <v>4.12</v>
      </c>
      <c r="I45" s="41">
        <v>0.06</v>
      </c>
      <c r="J45" s="85">
        <v>74.2</v>
      </c>
      <c r="K45" s="41"/>
      <c r="L45" s="41">
        <v>5.1405000000000003</v>
      </c>
      <c r="M45" s="41">
        <v>0.14391596148234606</v>
      </c>
      <c r="N45" s="41">
        <v>106.9404</v>
      </c>
      <c r="O45" s="41">
        <v>0.20183204850552269</v>
      </c>
      <c r="P45" s="41">
        <v>63.629100000000001</v>
      </c>
      <c r="Q45" s="41">
        <v>3.1600000000000003E-2</v>
      </c>
      <c r="R45" s="41"/>
      <c r="S45" s="41"/>
    </row>
    <row r="46" spans="1:19">
      <c r="A46" s="27">
        <v>2019</v>
      </c>
      <c r="B46" s="41">
        <v>128.25</v>
      </c>
      <c r="C46" s="41">
        <v>7.9220272904483427E-2</v>
      </c>
      <c r="D46" s="41"/>
      <c r="E46" s="41"/>
      <c r="F46" s="41">
        <v>176.47</v>
      </c>
      <c r="G46" s="41">
        <v>0.04</v>
      </c>
      <c r="H46" s="41">
        <v>5.74</v>
      </c>
      <c r="I46" s="41">
        <v>0.04</v>
      </c>
      <c r="J46" s="85">
        <v>117.3</v>
      </c>
      <c r="K46" s="41"/>
      <c r="L46" s="41">
        <v>4.7872000000000003</v>
      </c>
      <c r="M46" s="41">
        <v>0.13749164438502673</v>
      </c>
      <c r="N46" s="41">
        <v>79.205500000000001</v>
      </c>
      <c r="O46" s="41">
        <v>0.19397011571166145</v>
      </c>
      <c r="P46" s="41">
        <v>47.145400000000002</v>
      </c>
      <c r="Q46" s="41">
        <v>3.4700000000000002E-2</v>
      </c>
      <c r="R46" s="41"/>
      <c r="S46" s="41"/>
    </row>
    <row r="47" spans="1:19">
      <c r="A47" s="27">
        <v>2020</v>
      </c>
      <c r="B47" s="41">
        <v>138.79</v>
      </c>
      <c r="C47" s="41">
        <v>7.4212839541753742E-2</v>
      </c>
      <c r="D47" s="41"/>
      <c r="E47" s="41"/>
      <c r="F47" s="41">
        <v>209.34</v>
      </c>
      <c r="G47" s="41">
        <v>0.05</v>
      </c>
      <c r="H47" s="41">
        <v>7.13</v>
      </c>
      <c r="I47" s="41">
        <v>0.04</v>
      </c>
      <c r="J47" s="85">
        <v>76.900000000000006</v>
      </c>
      <c r="K47" s="41"/>
      <c r="L47" s="41">
        <v>5.1363000000000003</v>
      </c>
      <c r="M47" s="41">
        <v>0.14006191227147946</v>
      </c>
      <c r="N47" s="41">
        <v>77.893000000000001</v>
      </c>
      <c r="O47" s="41">
        <v>0.19829124568318077</v>
      </c>
      <c r="P47" s="41">
        <v>53.662399999999998</v>
      </c>
      <c r="Q47" s="41">
        <v>3.39E-2</v>
      </c>
      <c r="R47" s="41"/>
      <c r="S47" s="41"/>
    </row>
    <row r="48" spans="1:19">
      <c r="A48" s="27">
        <v>2021</v>
      </c>
      <c r="B48" s="41">
        <v>143.04</v>
      </c>
      <c r="C48" s="41">
        <v>7.2916666666666671E-2</v>
      </c>
      <c r="D48" s="41"/>
      <c r="E48" s="41"/>
      <c r="F48" s="41">
        <v>125.77</v>
      </c>
      <c r="G48" s="41">
        <v>0.05</v>
      </c>
      <c r="H48" s="41">
        <v>4.1900000000000004</v>
      </c>
      <c r="I48" s="41">
        <v>0.05</v>
      </c>
      <c r="J48" s="85">
        <v>67.599999999999994</v>
      </c>
      <c r="K48" s="41"/>
      <c r="L48" s="41">
        <v>6.6536999999999997</v>
      </c>
      <c r="M48" s="41">
        <v>0.19462855253467995</v>
      </c>
      <c r="N48" s="41">
        <v>93.605000000000004</v>
      </c>
      <c r="O48" s="41">
        <v>0.25614764168580739</v>
      </c>
      <c r="P48" s="41">
        <v>55.356999999999999</v>
      </c>
      <c r="Q48" s="41">
        <v>3.4599999999999999E-2</v>
      </c>
      <c r="R48" s="41"/>
      <c r="S48" s="41"/>
    </row>
    <row r="49" spans="1:19">
      <c r="A49" s="27">
        <v>2022</v>
      </c>
      <c r="B49" s="41">
        <v>91.21</v>
      </c>
      <c r="C49" s="41">
        <v>8.3872382414208982E-2</v>
      </c>
      <c r="D49" s="41"/>
      <c r="E49" s="41"/>
      <c r="F49" s="41">
        <v>167.22</v>
      </c>
      <c r="G49" s="41">
        <v>0.05</v>
      </c>
      <c r="H49" s="41">
        <v>5.16</v>
      </c>
      <c r="I49" s="41">
        <v>0.05</v>
      </c>
      <c r="J49" s="85">
        <v>106.3</v>
      </c>
      <c r="K49" s="41"/>
      <c r="L49" s="41">
        <v>6.1154999999999999</v>
      </c>
      <c r="M49" s="41">
        <v>0.19476739432589324</v>
      </c>
      <c r="N49" s="41">
        <v>91.876099999999994</v>
      </c>
      <c r="O49" s="41">
        <v>0.25637679440028477</v>
      </c>
      <c r="P49" s="41">
        <v>57.3748</v>
      </c>
      <c r="Q49" s="41">
        <v>2.9700000000000001E-2</v>
      </c>
      <c r="R49" s="41"/>
      <c r="S49" s="41"/>
    </row>
    <row r="50" spans="1:19">
      <c r="A50" s="27">
        <v>2023</v>
      </c>
      <c r="B50" s="41">
        <v>110.74</v>
      </c>
      <c r="C50" s="41">
        <v>8.2806573957016433E-2</v>
      </c>
      <c r="D50" s="41"/>
      <c r="E50" s="41"/>
      <c r="F50" s="41">
        <v>182.35</v>
      </c>
      <c r="G50" s="41">
        <v>0.05</v>
      </c>
      <c r="H50" s="41">
        <v>5.79</v>
      </c>
      <c r="I50" s="41">
        <v>0.05</v>
      </c>
      <c r="J50" s="85">
        <v>118.4</v>
      </c>
      <c r="K50" s="41"/>
      <c r="L50" s="41">
        <v>6.0800999999999998</v>
      </c>
      <c r="M50" s="41">
        <v>0.1978585878521735</v>
      </c>
      <c r="N50" s="41">
        <v>99.397499999999994</v>
      </c>
      <c r="O50" s="41">
        <v>0.2597419452199502</v>
      </c>
      <c r="P50" s="41">
        <v>55.386000000000003</v>
      </c>
      <c r="Q50" s="41">
        <v>3.2300000000000002E-2</v>
      </c>
      <c r="R50" s="41"/>
      <c r="S50" s="41"/>
    </row>
    <row r="51" spans="1:19">
      <c r="A51" s="43">
        <v>2024</v>
      </c>
      <c r="B51" s="48">
        <v>118.74</v>
      </c>
      <c r="C51" s="48">
        <v>8.5733535455617321E-2</v>
      </c>
      <c r="D51" s="48"/>
      <c r="E51" s="48"/>
      <c r="F51" s="48"/>
      <c r="G51" s="48"/>
      <c r="H51" s="48"/>
      <c r="I51" s="48"/>
      <c r="J51" s="87">
        <v>88</v>
      </c>
      <c r="K51" s="48"/>
      <c r="L51" s="48">
        <v>6.7824</v>
      </c>
      <c r="M51" s="48">
        <v>0.20169851380042464</v>
      </c>
      <c r="N51" s="48">
        <v>72.807000000000002</v>
      </c>
      <c r="O51" s="48">
        <v>0.26350900325518151</v>
      </c>
      <c r="P51" s="48">
        <v>56.501300000000001</v>
      </c>
      <c r="Q51" s="48">
        <v>2.9700000000000001E-2</v>
      </c>
      <c r="R51" s="48"/>
      <c r="S51" s="48"/>
    </row>
    <row r="52" spans="1:19">
      <c r="A52" s="111" t="s">
        <v>51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</row>
    <row r="53" spans="1:19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</row>
    <row r="54" spans="1:19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</row>
  </sheetData>
  <mergeCells count="77">
    <mergeCell ref="L5:O5"/>
    <mergeCell ref="P8:Q8"/>
    <mergeCell ref="B9:C9"/>
    <mergeCell ref="J9:K9"/>
    <mergeCell ref="B12:C12"/>
    <mergeCell ref="F12:G12"/>
    <mergeCell ref="J12:K12"/>
    <mergeCell ref="P12:Q12"/>
    <mergeCell ref="B10:C10"/>
    <mergeCell ref="J10:K10"/>
    <mergeCell ref="B11:C11"/>
    <mergeCell ref="F11:G11"/>
    <mergeCell ref="J11:K11"/>
    <mergeCell ref="F8:G8"/>
    <mergeCell ref="F9:G9"/>
    <mergeCell ref="B8:C8"/>
    <mergeCell ref="J8:K8"/>
    <mergeCell ref="B4:C4"/>
    <mergeCell ref="J4:K4"/>
    <mergeCell ref="P4:Q4"/>
    <mergeCell ref="P5:Q5"/>
    <mergeCell ref="F4:G4"/>
    <mergeCell ref="L4:M4"/>
    <mergeCell ref="N4:O4"/>
    <mergeCell ref="H4:I4"/>
    <mergeCell ref="D4:E4"/>
    <mergeCell ref="B5:C5"/>
    <mergeCell ref="J5:K5"/>
    <mergeCell ref="D5:E5"/>
    <mergeCell ref="F5:I5"/>
    <mergeCell ref="B7:C7"/>
    <mergeCell ref="J7:K7"/>
    <mergeCell ref="B6:C6"/>
    <mergeCell ref="F7:G7"/>
    <mergeCell ref="H12:I12"/>
    <mergeCell ref="H11:I11"/>
    <mergeCell ref="D12:E12"/>
    <mergeCell ref="D6:E6"/>
    <mergeCell ref="D8:E8"/>
    <mergeCell ref="D9:E9"/>
    <mergeCell ref="D10:E10"/>
    <mergeCell ref="D11:E11"/>
    <mergeCell ref="F6:G6"/>
    <mergeCell ref="F10:G10"/>
    <mergeCell ref="H9:I9"/>
    <mergeCell ref="H10:I10"/>
    <mergeCell ref="P6:Q6"/>
    <mergeCell ref="H8:I8"/>
    <mergeCell ref="P11:Q11"/>
    <mergeCell ref="P10:Q10"/>
    <mergeCell ref="P9:Q9"/>
    <mergeCell ref="N7:O7"/>
    <mergeCell ref="L7:M7"/>
    <mergeCell ref="L6:M6"/>
    <mergeCell ref="N6:O6"/>
    <mergeCell ref="J6:K6"/>
    <mergeCell ref="H6:I6"/>
    <mergeCell ref="L9:M9"/>
    <mergeCell ref="N9:O9"/>
    <mergeCell ref="L11:M11"/>
    <mergeCell ref="N11:O11"/>
    <mergeCell ref="P7:Q7"/>
    <mergeCell ref="L12:M12"/>
    <mergeCell ref="L10:M10"/>
    <mergeCell ref="N10:O10"/>
    <mergeCell ref="N12:O12"/>
    <mergeCell ref="N8:O8"/>
    <mergeCell ref="L8:M8"/>
    <mergeCell ref="R9:S9"/>
    <mergeCell ref="R10:S10"/>
    <mergeCell ref="R11:S11"/>
    <mergeCell ref="R12:S12"/>
    <mergeCell ref="R4:S4"/>
    <mergeCell ref="R5:S5"/>
    <mergeCell ref="R6:S6"/>
    <mergeCell ref="R7:S7"/>
    <mergeCell ref="R8:S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15"/>
  <sheetViews>
    <sheetView zoomScale="115" zoomScaleNormal="115" workbookViewId="0">
      <selection activeCell="AH40" sqref="AH40"/>
    </sheetView>
  </sheetViews>
  <sheetFormatPr defaultColWidth="10" defaultRowHeight="15"/>
  <cols>
    <col min="1" max="33" width="8.7109375" style="4" customWidth="1"/>
    <col min="34" max="41" width="8.7109375" style="2" customWidth="1"/>
    <col min="61" max="16384" width="10" style="4"/>
  </cols>
  <sheetData>
    <row r="1" spans="1:41">
      <c r="O1" s="4" t="s">
        <v>100</v>
      </c>
      <c r="P1" s="4" t="s">
        <v>98</v>
      </c>
      <c r="Q1" s="4" t="s">
        <v>98</v>
      </c>
      <c r="R1" s="4" t="s">
        <v>99</v>
      </c>
      <c r="T1" s="4" t="s">
        <v>99</v>
      </c>
      <c r="U1" s="4" t="s">
        <v>98</v>
      </c>
      <c r="V1" s="4" t="s">
        <v>98</v>
      </c>
      <c r="W1" s="4" t="s">
        <v>98</v>
      </c>
    </row>
    <row r="2" spans="1:41">
      <c r="A2" s="20" t="s">
        <v>14</v>
      </c>
      <c r="B2" s="19">
        <f>+AVERAGE(B6:B43)</f>
        <v>166.34868421052633</v>
      </c>
      <c r="C2" s="19">
        <f t="shared" ref="C2:I2" si="0">+AVERAGE(C6:C43)</f>
        <v>122.94567062074842</v>
      </c>
      <c r="D2" s="19">
        <f t="shared" si="0"/>
        <v>191.13571428571427</v>
      </c>
      <c r="E2" s="19">
        <f t="shared" si="0"/>
        <v>6.4192857142857136</v>
      </c>
      <c r="F2" s="19">
        <f t="shared" si="0"/>
        <v>110.19230769230769</v>
      </c>
      <c r="G2" s="19">
        <f t="shared" si="0"/>
        <v>6.8377270270270261</v>
      </c>
      <c r="H2" s="19">
        <f t="shared" si="0"/>
        <v>98.546667567567553</v>
      </c>
      <c r="I2" s="19">
        <f t="shared" si="0"/>
        <v>74.323130769230772</v>
      </c>
      <c r="J2" s="19">
        <f t="shared" ref="J2" si="1">+AVERAGE(J6:J43)</f>
        <v>12.327058823529413</v>
      </c>
      <c r="K2" s="19"/>
      <c r="L2" s="19"/>
      <c r="M2" s="20"/>
      <c r="N2" s="20"/>
      <c r="O2" s="15" t="s">
        <v>23</v>
      </c>
      <c r="R2" s="15"/>
      <c r="S2" s="15" t="s">
        <v>97</v>
      </c>
      <c r="T2" s="15"/>
      <c r="U2" s="15"/>
      <c r="V2" s="15"/>
      <c r="W2" s="15"/>
      <c r="X2" s="15"/>
      <c r="Y2" s="15"/>
      <c r="Z2"/>
      <c r="AA2"/>
      <c r="AB2"/>
      <c r="AC2"/>
      <c r="AD2"/>
      <c r="AE2"/>
      <c r="AF2"/>
      <c r="AG2"/>
      <c r="AH2"/>
      <c r="AI2"/>
      <c r="AJ2"/>
      <c r="AK2"/>
    </row>
    <row r="3" spans="1:41">
      <c r="A3" s="20"/>
      <c r="B3" s="20">
        <f t="shared" ref="B3:I3" si="2">+COUNT(B6:B68)</f>
        <v>38</v>
      </c>
      <c r="C3" s="20">
        <f t="shared" si="2"/>
        <v>19</v>
      </c>
      <c r="D3" s="20">
        <f t="shared" si="2"/>
        <v>14</v>
      </c>
      <c r="E3" s="20">
        <f t="shared" si="2"/>
        <v>14</v>
      </c>
      <c r="F3" s="20">
        <f t="shared" si="2"/>
        <v>13</v>
      </c>
      <c r="G3" s="20">
        <f t="shared" si="2"/>
        <v>37</v>
      </c>
      <c r="H3" s="20">
        <f t="shared" si="2"/>
        <v>37</v>
      </c>
      <c r="I3" s="20">
        <f t="shared" si="2"/>
        <v>13</v>
      </c>
      <c r="J3" s="20">
        <f t="shared" ref="J3" si="3">+COUNT(J6:J68)</f>
        <v>17</v>
      </c>
      <c r="K3" s="20"/>
      <c r="L3" s="20"/>
      <c r="N3" s="20"/>
      <c r="O3" s="20"/>
      <c r="P3" s="20">
        <f t="shared" ref="P3:W3" si="4">+COUNT(P6:P43)-C3</f>
        <v>0</v>
      </c>
      <c r="Q3" s="20">
        <f t="shared" si="4"/>
        <v>0</v>
      </c>
      <c r="R3" s="20">
        <f t="shared" si="4"/>
        <v>0</v>
      </c>
      <c r="S3" s="20">
        <f t="shared" si="4"/>
        <v>0</v>
      </c>
      <c r="T3" s="20">
        <f t="shared" si="4"/>
        <v>0</v>
      </c>
      <c r="U3" s="20">
        <f t="shared" si="4"/>
        <v>0</v>
      </c>
      <c r="V3" s="20">
        <f t="shared" si="4"/>
        <v>0</v>
      </c>
      <c r="W3" s="20">
        <f t="shared" si="4"/>
        <v>0</v>
      </c>
      <c r="X3" s="20"/>
      <c r="Y3" s="20"/>
      <c r="Z3"/>
      <c r="AA3"/>
      <c r="AB3"/>
      <c r="AC3"/>
      <c r="AD3"/>
      <c r="AE3"/>
      <c r="AF3"/>
      <c r="AG3"/>
      <c r="AH3"/>
      <c r="AI3"/>
      <c r="AJ3"/>
      <c r="AK3"/>
    </row>
    <row r="4" spans="1:41">
      <c r="A4" s="20"/>
      <c r="B4" s="20">
        <f>+MED_CPUE_2026!B3</f>
        <v>38</v>
      </c>
      <c r="C4" s="20">
        <f>+MED_CPUE_2026!D3</f>
        <v>19</v>
      </c>
      <c r="D4" s="20">
        <f>+MED_CPUE_2026!F3</f>
        <v>14</v>
      </c>
      <c r="E4" s="20">
        <f>+MED_CPUE_2026!H3</f>
        <v>14</v>
      </c>
      <c r="F4" s="20">
        <f>+MED_CPUE_2026!J3</f>
        <v>13</v>
      </c>
      <c r="G4" s="20">
        <f>+MED_CPUE_2026!L3</f>
        <v>37</v>
      </c>
      <c r="H4" s="20">
        <f>+MED_CPUE_2026!N3</f>
        <v>37</v>
      </c>
      <c r="I4" s="20">
        <f>+MED_CPUE_2026!P3</f>
        <v>13</v>
      </c>
      <c r="J4" s="20">
        <f>+MED_CPUE_2026!R3</f>
        <v>17</v>
      </c>
      <c r="K4" s="20"/>
      <c r="L4" s="20"/>
      <c r="Z4" s="1"/>
      <c r="AA4" s="1"/>
      <c r="AB4" s="1"/>
      <c r="AC4" s="1"/>
      <c r="AD4" s="1"/>
      <c r="AE4" s="1"/>
      <c r="AF4" s="1"/>
      <c r="AG4"/>
      <c r="AH4"/>
      <c r="AI4"/>
      <c r="AJ4"/>
      <c r="AK4"/>
    </row>
    <row r="5" spans="1:41" ht="39">
      <c r="A5" s="20" t="s">
        <v>6</v>
      </c>
      <c r="B5" s="20" t="str">
        <f>+MED_CPUE_2026!B4</f>
        <v>GRC_LL</v>
      </c>
      <c r="C5" s="49" t="str">
        <f>+MED_CPUE_2026!D4</f>
        <v>w_LIG_LL_early</v>
      </c>
      <c r="D5" s="49" t="str">
        <f>+MED_CPUE_2026!F4</f>
        <v>w_LIG_LL*</v>
      </c>
      <c r="E5" s="20" t="str">
        <f>+MED_CPUE_2026!H4</f>
        <v>n_LIG_LL*</v>
      </c>
      <c r="F5" s="20" t="str">
        <f>+MED_CPUE_2026!J4</f>
        <v>LIG_LLAM_Nominal</v>
      </c>
      <c r="G5" s="20" t="str">
        <f>+MED_CPUE_2026!L4</f>
        <v>n_SPN LL</v>
      </c>
      <c r="H5" s="20" t="str">
        <f>+MED_CPUE_2026!N4</f>
        <v>w_SPN LL</v>
      </c>
      <c r="I5" s="20" t="str">
        <f>+MED_CPUE_2026!P4</f>
        <v>MOR_LL</v>
      </c>
      <c r="J5" s="20" t="str">
        <f>+MED_CPUE_2026!R4</f>
        <v>SIC_GN</v>
      </c>
      <c r="K5" s="20"/>
      <c r="L5" s="20"/>
      <c r="M5" s="21"/>
      <c r="N5" s="20"/>
      <c r="O5" s="20" t="str">
        <f t="shared" ref="O5:W5" si="5">+B5</f>
        <v>GRC_LL</v>
      </c>
      <c r="P5" s="49" t="str">
        <f t="shared" si="5"/>
        <v>w_LIG_LL_early</v>
      </c>
      <c r="Q5" s="49" t="str">
        <f t="shared" si="5"/>
        <v>w_LIG_LL*</v>
      </c>
      <c r="R5" s="49" t="str">
        <f t="shared" si="5"/>
        <v>n_LIG_LL*</v>
      </c>
      <c r="S5" s="49" t="str">
        <f t="shared" si="5"/>
        <v>LIG_LLAM_Nominal</v>
      </c>
      <c r="T5" s="20" t="str">
        <f t="shared" si="5"/>
        <v>n_SPN LL</v>
      </c>
      <c r="U5" s="20" t="str">
        <f t="shared" si="5"/>
        <v>w_SPN LL</v>
      </c>
      <c r="V5" s="20" t="str">
        <f t="shared" si="5"/>
        <v>MOR_LL</v>
      </c>
      <c r="W5" s="20" t="str">
        <f t="shared" si="5"/>
        <v>SIC_GN</v>
      </c>
      <c r="X5" s="20"/>
      <c r="Y5" s="20"/>
      <c r="Z5"/>
      <c r="AA5"/>
      <c r="AB5"/>
      <c r="AC5"/>
      <c r="AD5"/>
      <c r="AE5"/>
      <c r="AF5"/>
      <c r="AG5"/>
      <c r="AH5"/>
      <c r="AI5"/>
      <c r="AJ5"/>
      <c r="AK5"/>
    </row>
    <row r="6" spans="1:41">
      <c r="A6" s="20">
        <f>+MED_CPUE_2026!A14</f>
        <v>1987</v>
      </c>
      <c r="B6" s="20">
        <f>+MED_CPUE_2026!B14</f>
        <v>181.7</v>
      </c>
      <c r="C6" s="49"/>
      <c r="D6" s="49"/>
      <c r="E6" s="20"/>
      <c r="F6" s="20"/>
      <c r="G6" s="20"/>
      <c r="H6" s="20"/>
      <c r="I6" s="20"/>
      <c r="J6" s="19"/>
      <c r="K6" s="19"/>
      <c r="L6" s="20"/>
      <c r="M6" s="21"/>
      <c r="N6" s="20">
        <f t="shared" ref="N6:N11" si="6">+A6</f>
        <v>1987</v>
      </c>
      <c r="O6" s="15">
        <f t="shared" ref="O6:O43" si="7">+B6/B$2</f>
        <v>1.0922839628238084</v>
      </c>
      <c r="P6" s="15"/>
      <c r="Q6" s="15"/>
      <c r="R6" s="15"/>
      <c r="S6" s="15"/>
      <c r="T6" s="15"/>
      <c r="U6" s="15"/>
      <c r="V6" s="15"/>
      <c r="W6" s="20"/>
      <c r="X6" s="20"/>
      <c r="Y6" s="20"/>
      <c r="Z6"/>
      <c r="AA6"/>
      <c r="AB6"/>
      <c r="AC6"/>
      <c r="AD6"/>
      <c r="AE6"/>
      <c r="AF6"/>
      <c r="AG6"/>
      <c r="AH6"/>
      <c r="AI6"/>
      <c r="AJ6"/>
      <c r="AK6"/>
    </row>
    <row r="7" spans="1:41">
      <c r="A7" s="20">
        <f>+MED_CPUE_2026!A15</f>
        <v>1988</v>
      </c>
      <c r="B7" s="20">
        <f>+MED_CPUE_2026!B15</f>
        <v>213.31</v>
      </c>
      <c r="C7" s="49"/>
      <c r="D7" s="49"/>
      <c r="E7" s="20"/>
      <c r="F7" s="20"/>
      <c r="G7" s="20">
        <f>+MED_CPUE_2026!L15</f>
        <v>11.7582</v>
      </c>
      <c r="H7" s="20">
        <f>+MED_CPUE_2026!N15</f>
        <v>128.57499999999999</v>
      </c>
      <c r="I7" s="20"/>
      <c r="J7" s="19"/>
      <c r="K7" s="19"/>
      <c r="L7" s="20"/>
      <c r="M7" s="21"/>
      <c r="N7" s="20">
        <f t="shared" si="6"/>
        <v>1988</v>
      </c>
      <c r="O7" s="15">
        <f t="shared" si="7"/>
        <v>1.2823065058334979</v>
      </c>
      <c r="P7" s="15"/>
      <c r="Q7" s="15"/>
      <c r="R7" s="15"/>
      <c r="S7" s="15"/>
      <c r="T7" s="15">
        <f t="shared" ref="T7:T43" si="8">+G7/G$2</f>
        <v>1.7196065232677686</v>
      </c>
      <c r="U7" s="15">
        <f t="shared" ref="U7:U43" si="9">+H7/H$2</f>
        <v>1.3047117997353264</v>
      </c>
      <c r="V7" s="15"/>
      <c r="W7" s="20"/>
      <c r="X7" s="20"/>
      <c r="Y7" s="20"/>
      <c r="Z7"/>
      <c r="AA7"/>
      <c r="AB7"/>
      <c r="AC7"/>
      <c r="AD7"/>
      <c r="AE7"/>
      <c r="AF7"/>
      <c r="AG7"/>
      <c r="AH7"/>
      <c r="AI7"/>
      <c r="AJ7"/>
      <c r="AK7"/>
    </row>
    <row r="8" spans="1:41">
      <c r="A8" s="20">
        <f>+MED_CPUE_2026!A16</f>
        <v>1989</v>
      </c>
      <c r="B8" s="20">
        <f>+MED_CPUE_2026!B16</f>
        <v>247.25</v>
      </c>
      <c r="C8" s="49"/>
      <c r="D8" s="49"/>
      <c r="E8" s="20"/>
      <c r="F8" s="20"/>
      <c r="G8" s="20">
        <f>+MED_CPUE_2026!L16</f>
        <v>4.1086</v>
      </c>
      <c r="H8" s="20">
        <f>+MED_CPUE_2026!N16</f>
        <v>115.4062</v>
      </c>
      <c r="I8" s="20"/>
      <c r="J8" s="19"/>
      <c r="K8" s="19"/>
      <c r="L8" s="20"/>
      <c r="M8" s="21"/>
      <c r="N8" s="20">
        <f t="shared" si="6"/>
        <v>1989</v>
      </c>
      <c r="O8" s="15">
        <f t="shared" si="7"/>
        <v>1.4863357721969546</v>
      </c>
      <c r="P8" s="15"/>
      <c r="Q8" s="15"/>
      <c r="R8" s="15"/>
      <c r="S8" s="15"/>
      <c r="T8" s="15">
        <f t="shared" si="8"/>
        <v>0.60087218804731624</v>
      </c>
      <c r="U8" s="15">
        <f t="shared" si="9"/>
        <v>1.1710817103061641</v>
      </c>
      <c r="V8" s="15"/>
      <c r="W8" s="20"/>
      <c r="X8" s="20"/>
      <c r="Y8" s="20"/>
      <c r="Z8"/>
      <c r="AA8"/>
      <c r="AB8"/>
      <c r="AC8"/>
      <c r="AD8"/>
      <c r="AE8"/>
      <c r="AF8"/>
      <c r="AG8"/>
      <c r="AH8"/>
      <c r="AI8"/>
      <c r="AJ8"/>
      <c r="AK8"/>
    </row>
    <row r="9" spans="1:41">
      <c r="A9" s="20">
        <f>+MED_CPUE_2026!A17</f>
        <v>1990</v>
      </c>
      <c r="B9" s="20">
        <f>+MED_CPUE_2026!B17</f>
        <v>186.44</v>
      </c>
      <c r="C9" s="49"/>
      <c r="D9" s="49"/>
      <c r="E9" s="20"/>
      <c r="F9" s="20"/>
      <c r="G9" s="20">
        <f>+MED_CPUE_2026!L17</f>
        <v>4.6593</v>
      </c>
      <c r="H9" s="20">
        <f>+MED_CPUE_2026!N17</f>
        <v>122.1755</v>
      </c>
      <c r="I9" s="20"/>
      <c r="J9" s="20">
        <f>+MED_CPUE_2026!R17</f>
        <v>8.31</v>
      </c>
      <c r="K9" s="19"/>
      <c r="L9" s="20"/>
      <c r="M9" s="21"/>
      <c r="N9" s="20">
        <f t="shared" si="6"/>
        <v>1990</v>
      </c>
      <c r="O9" s="15">
        <f t="shared" si="7"/>
        <v>1.120778327071386</v>
      </c>
      <c r="P9" s="15"/>
      <c r="Q9" s="15"/>
      <c r="R9" s="15"/>
      <c r="S9" s="15"/>
      <c r="T9" s="15">
        <f t="shared" si="8"/>
        <v>0.68141064736622226</v>
      </c>
      <c r="U9" s="15">
        <f t="shared" si="9"/>
        <v>1.2397730234381754</v>
      </c>
      <c r="V9" s="15"/>
      <c r="W9" s="15">
        <f t="shared" ref="W9:W28" si="10">+J9/J$2</f>
        <v>0.67412674174460774</v>
      </c>
      <c r="X9" s="20"/>
      <c r="Y9" s="20"/>
      <c r="Z9"/>
      <c r="AA9"/>
      <c r="AB9"/>
      <c r="AC9"/>
      <c r="AD9"/>
      <c r="AE9"/>
      <c r="AF9"/>
      <c r="AG9"/>
      <c r="AH9"/>
      <c r="AI9"/>
      <c r="AJ9"/>
      <c r="AK9"/>
    </row>
    <row r="10" spans="1:41">
      <c r="A10" s="20">
        <f>+MED_CPUE_2026!A18</f>
        <v>1991</v>
      </c>
      <c r="B10" s="20">
        <f>+MED_CPUE_2026!B18</f>
        <v>228.97</v>
      </c>
      <c r="C10" s="49">
        <f>+MED_CPUE_2026!D18</f>
        <v>88.467335705598799</v>
      </c>
      <c r="D10" s="49"/>
      <c r="E10" s="20"/>
      <c r="F10" s="20"/>
      <c r="G10" s="20">
        <f>+MED_CPUE_2026!L18</f>
        <v>7.3097000000000003</v>
      </c>
      <c r="H10" s="20">
        <f>+MED_CPUE_2026!N18</f>
        <v>86.7179</v>
      </c>
      <c r="I10" s="20"/>
      <c r="J10" s="20">
        <f>+MED_CPUE_2026!R18</f>
        <v>9.8000000000000007</v>
      </c>
      <c r="K10" s="19"/>
      <c r="L10" s="20"/>
      <c r="M10" s="21"/>
      <c r="N10" s="20">
        <f t="shared" si="6"/>
        <v>1991</v>
      </c>
      <c r="O10" s="15">
        <f t="shared" si="7"/>
        <v>1.3764461142970139</v>
      </c>
      <c r="P10" s="15">
        <f t="shared" ref="P10:P28" si="11">+C10/C$2</f>
        <v>0.71956446501068561</v>
      </c>
      <c r="Q10" s="15"/>
      <c r="R10" s="15"/>
      <c r="S10" s="15"/>
      <c r="T10" s="15">
        <f t="shared" si="8"/>
        <v>1.0690248339992863</v>
      </c>
      <c r="U10" s="15">
        <f t="shared" si="9"/>
        <v>0.87996785827935509</v>
      </c>
      <c r="V10" s="15"/>
      <c r="W10" s="15">
        <f t="shared" si="10"/>
        <v>0.79499904561939305</v>
      </c>
      <c r="X10" s="20"/>
      <c r="Y10" s="2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41">
      <c r="A11" s="20">
        <f>+MED_CPUE_2026!A19</f>
        <v>1992</v>
      </c>
      <c r="B11" s="20">
        <f>+MED_CPUE_2026!B19</f>
        <v>100.21</v>
      </c>
      <c r="C11" s="49">
        <f>+MED_CPUE_2026!D19</f>
        <v>66.100051036905811</v>
      </c>
      <c r="D11" s="49"/>
      <c r="E11" s="20"/>
      <c r="F11" s="20"/>
      <c r="G11" s="20">
        <f>+MED_CPUE_2026!L19</f>
        <v>8.2661999999999995</v>
      </c>
      <c r="H11" s="20">
        <f>+MED_CPUE_2026!N19</f>
        <v>74.2483</v>
      </c>
      <c r="I11" s="20"/>
      <c r="J11" s="20">
        <f>+MED_CPUE_2026!R19</f>
        <v>16.87</v>
      </c>
      <c r="K11" s="19"/>
      <c r="L11" s="20"/>
      <c r="M11" s="21"/>
      <c r="N11" s="20">
        <f t="shared" si="6"/>
        <v>1992</v>
      </c>
      <c r="O11" s="15">
        <f t="shared" si="7"/>
        <v>0.60240933359699422</v>
      </c>
      <c r="P11" s="15">
        <f t="shared" si="11"/>
        <v>0.53763626407639209</v>
      </c>
      <c r="Q11" s="15"/>
      <c r="R11" s="15"/>
      <c r="S11" s="15"/>
      <c r="T11" s="15">
        <f t="shared" si="8"/>
        <v>1.2089105001306346</v>
      </c>
      <c r="U11" s="15">
        <f t="shared" si="9"/>
        <v>0.75343288446656387</v>
      </c>
      <c r="V11" s="15"/>
      <c r="W11" s="15">
        <f t="shared" si="10"/>
        <v>1.3685340713876695</v>
      </c>
      <c r="X11" s="20"/>
      <c r="Y11" s="20"/>
      <c r="Z11"/>
      <c r="AA11"/>
      <c r="AB11"/>
      <c r="AC11"/>
      <c r="AD11"/>
      <c r="AE11"/>
      <c r="AF11"/>
      <c r="AG11"/>
      <c r="AH11"/>
      <c r="AI11"/>
      <c r="AJ11"/>
      <c r="AK11"/>
    </row>
    <row r="12" spans="1:41">
      <c r="A12" s="20">
        <f>+MED_CPUE_2026!A20</f>
        <v>1993</v>
      </c>
      <c r="B12" s="20">
        <f>+MED_CPUE_2026!B20</f>
        <v>151.63999999999999</v>
      </c>
      <c r="C12" s="49">
        <f>+MED_CPUE_2026!D20</f>
        <v>68.763320710658888</v>
      </c>
      <c r="D12" s="49"/>
      <c r="E12" s="20"/>
      <c r="F12" s="20"/>
      <c r="G12" s="20">
        <f>+MED_CPUE_2026!L20</f>
        <v>8.2301000000000002</v>
      </c>
      <c r="H12" s="20">
        <f>+MED_CPUE_2026!N20</f>
        <v>98.033900000000003</v>
      </c>
      <c r="I12" s="20"/>
      <c r="J12" s="20">
        <f>+MED_CPUE_2026!R20</f>
        <v>13.04</v>
      </c>
      <c r="K12" s="19"/>
      <c r="L12" s="20"/>
      <c r="M12" s="21"/>
      <c r="N12" s="20">
        <f t="shared" ref="N12:N43" si="12">+A12</f>
        <v>1993</v>
      </c>
      <c r="O12" s="15">
        <f t="shared" si="7"/>
        <v>0.91157919715246183</v>
      </c>
      <c r="P12" s="15">
        <f t="shared" si="11"/>
        <v>0.55929843127842793</v>
      </c>
      <c r="Q12" s="15"/>
      <c r="R12" s="15"/>
      <c r="S12" s="15"/>
      <c r="T12" s="15">
        <f t="shared" si="8"/>
        <v>1.2036309679326822</v>
      </c>
      <c r="U12" s="15">
        <f t="shared" si="9"/>
        <v>0.99479670312325907</v>
      </c>
      <c r="V12" s="15"/>
      <c r="W12" s="15">
        <f t="shared" si="10"/>
        <v>1.0578354647833554</v>
      </c>
      <c r="X12" s="15"/>
      <c r="Y12" s="15"/>
      <c r="Z12"/>
      <c r="AA12"/>
      <c r="AB12"/>
      <c r="AC12"/>
      <c r="AD12"/>
      <c r="AE12"/>
      <c r="AF12"/>
      <c r="AG12"/>
      <c r="AH12"/>
      <c r="AI12"/>
      <c r="AJ12"/>
      <c r="AK12"/>
    </row>
    <row r="13" spans="1:41">
      <c r="A13" s="20">
        <f>+MED_CPUE_2026!A21</f>
        <v>1994</v>
      </c>
      <c r="B13" s="20">
        <f>+MED_CPUE_2026!B21</f>
        <v>175.7</v>
      </c>
      <c r="C13" s="49">
        <f>+MED_CPUE_2026!D21</f>
        <v>90.59594328549241</v>
      </c>
      <c r="D13" s="49"/>
      <c r="E13" s="20"/>
      <c r="F13" s="20"/>
      <c r="G13" s="20">
        <f>+MED_CPUE_2026!L21</f>
        <v>10.362</v>
      </c>
      <c r="H13" s="20">
        <f>+MED_CPUE_2026!N21</f>
        <v>119.9387</v>
      </c>
      <c r="I13" s="20"/>
      <c r="J13" s="20">
        <f>+MED_CPUE_2026!R21</f>
        <v>9.49</v>
      </c>
      <c r="K13" s="19"/>
      <c r="L13" s="20"/>
      <c r="M13" s="21"/>
      <c r="N13" s="20">
        <f t="shared" si="12"/>
        <v>1994</v>
      </c>
      <c r="O13" s="15">
        <f t="shared" si="7"/>
        <v>1.0562151473205457</v>
      </c>
      <c r="P13" s="15">
        <f t="shared" si="11"/>
        <v>0.73687786506085695</v>
      </c>
      <c r="Q13" s="15"/>
      <c r="R13" s="15"/>
      <c r="S13" s="15"/>
      <c r="T13" s="15">
        <f t="shared" si="8"/>
        <v>1.5154158624704988</v>
      </c>
      <c r="U13" s="15">
        <f t="shared" si="9"/>
        <v>1.2170751478507906</v>
      </c>
      <c r="V13" s="15"/>
      <c r="W13" s="15">
        <f t="shared" si="10"/>
        <v>0.76985111662531014</v>
      </c>
      <c r="X13" s="15"/>
      <c r="Y13" s="15"/>
      <c r="Z13"/>
      <c r="AA13"/>
      <c r="AB13"/>
      <c r="AC13"/>
      <c r="AD13"/>
      <c r="AE13"/>
      <c r="AF13"/>
      <c r="AG13"/>
      <c r="AH13"/>
      <c r="AI13"/>
      <c r="AJ13"/>
      <c r="AK13"/>
    </row>
    <row r="14" spans="1:41">
      <c r="A14" s="20">
        <f>+MED_CPUE_2026!A22</f>
        <v>1995</v>
      </c>
      <c r="B14" s="20">
        <f>+MED_CPUE_2026!B22</f>
        <v>119.98</v>
      </c>
      <c r="C14" s="49">
        <f>+MED_CPUE_2026!D22</f>
        <v>94.617414860395797</v>
      </c>
      <c r="D14" s="49"/>
      <c r="E14" s="20"/>
      <c r="F14" s="20"/>
      <c r="G14" s="20">
        <f>+MED_CPUE_2026!L22</f>
        <v>8.7539999999999996</v>
      </c>
      <c r="H14" s="20">
        <f>+MED_CPUE_2026!N22</f>
        <v>94.240399999999994</v>
      </c>
      <c r="I14" s="20"/>
      <c r="J14" s="20">
        <f>+MED_CPUE_2026!R22</f>
        <v>14.65</v>
      </c>
      <c r="K14" s="19"/>
      <c r="L14" s="20"/>
      <c r="M14" s="21"/>
      <c r="N14" s="20">
        <f t="shared" si="12"/>
        <v>1995</v>
      </c>
      <c r="O14" s="15">
        <f t="shared" si="7"/>
        <v>0.72125608068024516</v>
      </c>
      <c r="P14" s="15">
        <f t="shared" si="11"/>
        <v>0.76958720370286937</v>
      </c>
      <c r="Q14" s="15"/>
      <c r="R14" s="15"/>
      <c r="S14" s="15"/>
      <c r="T14" s="15">
        <f t="shared" si="8"/>
        <v>1.2802499961461826</v>
      </c>
      <c r="U14" s="15">
        <f t="shared" si="9"/>
        <v>0.95630225076241149</v>
      </c>
      <c r="V14" s="15"/>
      <c r="W14" s="15">
        <f t="shared" si="10"/>
        <v>1.1884424508493987</v>
      </c>
      <c r="X14" s="15"/>
      <c r="Y14" s="15"/>
      <c r="Z14"/>
      <c r="AA14"/>
      <c r="AB14"/>
      <c r="AC14"/>
      <c r="AD14"/>
      <c r="AE14"/>
      <c r="AF14"/>
      <c r="AG14"/>
      <c r="AH14"/>
      <c r="AI14"/>
      <c r="AJ14"/>
      <c r="AK14"/>
    </row>
    <row r="15" spans="1:41">
      <c r="A15" s="20">
        <f>+MED_CPUE_2026!A23</f>
        <v>1996</v>
      </c>
      <c r="B15" s="20">
        <f>+MED_CPUE_2026!B23</f>
        <v>181.7</v>
      </c>
      <c r="C15" s="49">
        <f>+MED_CPUE_2026!D23</f>
        <v>94.3443415443964</v>
      </c>
      <c r="D15" s="49"/>
      <c r="E15" s="20"/>
      <c r="F15" s="20"/>
      <c r="G15" s="20">
        <f>+MED_CPUE_2026!L23</f>
        <v>5.9795999999999996</v>
      </c>
      <c r="H15" s="20">
        <f>+MED_CPUE_2026!N23</f>
        <v>80.784000000000006</v>
      </c>
      <c r="I15" s="20"/>
      <c r="J15" s="20">
        <f>+MED_CPUE_2026!R23</f>
        <v>9.33</v>
      </c>
      <c r="K15" s="19"/>
      <c r="L15" s="20"/>
      <c r="M15" s="21"/>
      <c r="N15" s="20">
        <f t="shared" si="12"/>
        <v>1996</v>
      </c>
      <c r="O15" s="15">
        <f t="shared" si="7"/>
        <v>1.0922839628238084</v>
      </c>
      <c r="P15" s="15">
        <f t="shared" si="11"/>
        <v>0.76736611438251623</v>
      </c>
      <c r="Q15" s="15"/>
      <c r="R15" s="15"/>
      <c r="S15" s="15"/>
      <c r="T15" s="15">
        <f t="shared" si="8"/>
        <v>0.87450112827915394</v>
      </c>
      <c r="U15" s="15">
        <f t="shared" si="9"/>
        <v>0.81975374707228177</v>
      </c>
      <c r="V15" s="15"/>
      <c r="W15" s="15">
        <f t="shared" si="10"/>
        <v>0.75687154037029958</v>
      </c>
      <c r="X15" s="15"/>
      <c r="Y15" s="15"/>
      <c r="Z15"/>
      <c r="AA15"/>
      <c r="AB15"/>
      <c r="AC15"/>
      <c r="AD15"/>
      <c r="AE15"/>
      <c r="AF15"/>
      <c r="AG15"/>
      <c r="AH15"/>
      <c r="AI15"/>
      <c r="AJ15"/>
      <c r="AK15"/>
    </row>
    <row r="16" spans="1:41">
      <c r="A16" s="20">
        <f>+MED_CPUE_2026!A24</f>
        <v>1997</v>
      </c>
      <c r="B16" s="20">
        <f>+MED_CPUE_2026!B24</f>
        <v>256.77999999999997</v>
      </c>
      <c r="C16" s="49">
        <f>+MED_CPUE_2026!D24</f>
        <v>101.069041341145</v>
      </c>
      <c r="D16" s="49"/>
      <c r="E16" s="20"/>
      <c r="F16" s="20"/>
      <c r="G16" s="20">
        <f>+MED_CPUE_2026!L24</f>
        <v>5.742</v>
      </c>
      <c r="H16" s="20">
        <f>+MED_CPUE_2026!N24</f>
        <v>82.593900000000005</v>
      </c>
      <c r="I16" s="20"/>
      <c r="J16" s="20">
        <f>+MED_CPUE_2026!R24</f>
        <v>14.04</v>
      </c>
      <c r="K16" s="19"/>
      <c r="L16" s="20"/>
      <c r="M16" s="21"/>
      <c r="N16" s="20">
        <f t="shared" si="12"/>
        <v>1997</v>
      </c>
      <c r="O16" s="15">
        <f t="shared" si="7"/>
        <v>1.5436250741546369</v>
      </c>
      <c r="P16" s="15">
        <f t="shared" si="11"/>
        <v>0.82206263002878366</v>
      </c>
      <c r="Q16" s="15"/>
      <c r="R16" s="15"/>
      <c r="S16" s="15"/>
      <c r="T16" s="15">
        <f t="shared" si="8"/>
        <v>0.83975273907600889</v>
      </c>
      <c r="U16" s="15">
        <f t="shared" si="9"/>
        <v>0.83811966491277146</v>
      </c>
      <c r="V16" s="15"/>
      <c r="W16" s="15">
        <f t="shared" si="10"/>
        <v>1.138957816377171</v>
      </c>
      <c r="X16" s="15"/>
      <c r="Y16" s="15"/>
      <c r="Z16" s="11"/>
      <c r="AA16" s="11"/>
      <c r="AB16" s="11"/>
      <c r="AC16" s="11"/>
      <c r="AD16" s="11"/>
      <c r="AE16" s="12"/>
      <c r="AF16"/>
      <c r="AG16"/>
      <c r="AH16"/>
      <c r="AI16"/>
      <c r="AJ16"/>
      <c r="AK16"/>
      <c r="AL16" s="3"/>
      <c r="AM16" s="3"/>
      <c r="AN16" s="3"/>
      <c r="AO16" s="5"/>
    </row>
    <row r="17" spans="1:41">
      <c r="A17" s="20">
        <f>+MED_CPUE_2026!A25</f>
        <v>1998</v>
      </c>
      <c r="B17" s="20">
        <f>+MED_CPUE_2026!B25</f>
        <v>239.03</v>
      </c>
      <c r="C17" s="49">
        <f>+MED_CPUE_2026!D25</f>
        <v>144.93701346772801</v>
      </c>
      <c r="D17" s="49"/>
      <c r="E17" s="20"/>
      <c r="F17" s="20"/>
      <c r="G17" s="20">
        <f>+MED_CPUE_2026!L25</f>
        <v>7.0884</v>
      </c>
      <c r="H17" s="20">
        <f>+MED_CPUE_2026!N25</f>
        <v>92.999899999999997</v>
      </c>
      <c r="I17" s="20"/>
      <c r="J17" s="20">
        <f>+MED_CPUE_2026!R25</f>
        <v>10.119999999999999</v>
      </c>
      <c r="K17" s="19"/>
      <c r="L17" s="20"/>
      <c r="M17" s="21"/>
      <c r="N17" s="20">
        <f t="shared" si="12"/>
        <v>1998</v>
      </c>
      <c r="O17" s="15">
        <f t="shared" si="7"/>
        <v>1.4369214949574847</v>
      </c>
      <c r="P17" s="15">
        <f t="shared" si="11"/>
        <v>1.1788704127273948</v>
      </c>
      <c r="Q17" s="15"/>
      <c r="R17" s="15"/>
      <c r="S17" s="15"/>
      <c r="T17" s="15">
        <f t="shared" si="8"/>
        <v>1.0366602778938316</v>
      </c>
      <c r="U17" s="15">
        <f t="shared" si="9"/>
        <v>0.94371430607976192</v>
      </c>
      <c r="V17" s="15"/>
      <c r="W17" s="15">
        <f t="shared" si="10"/>
        <v>0.82095819812941384</v>
      </c>
      <c r="X17" s="15"/>
      <c r="Y17" s="15"/>
      <c r="Z17"/>
      <c r="AA17"/>
      <c r="AB17"/>
      <c r="AC17"/>
      <c r="AD17"/>
      <c r="AE17" s="12"/>
      <c r="AF17"/>
      <c r="AG17" s="11"/>
      <c r="AH17"/>
      <c r="AI17"/>
      <c r="AJ17"/>
      <c r="AK17"/>
      <c r="AL17" s="1"/>
      <c r="AM17" s="7"/>
      <c r="AN17" s="7"/>
      <c r="AO17" s="7"/>
    </row>
    <row r="18" spans="1:41">
      <c r="A18" s="20">
        <f>+MED_CPUE_2026!A26</f>
        <v>1999</v>
      </c>
      <c r="B18" s="20">
        <f>+MED_CPUE_2026!B26</f>
        <v>208.38</v>
      </c>
      <c r="C18" s="49">
        <f>+MED_CPUE_2026!D26</f>
        <v>101.89597173168097</v>
      </c>
      <c r="D18" s="49"/>
      <c r="E18" s="20"/>
      <c r="F18" s="20"/>
      <c r="G18" s="20">
        <f>+MED_CPUE_2026!L26</f>
        <v>5.6138000000000003</v>
      </c>
      <c r="H18" s="20">
        <f>+MED_CPUE_2026!N26</f>
        <v>85.875399999999999</v>
      </c>
      <c r="I18" s="20"/>
      <c r="J18" s="20">
        <f>+MED_CPUE_2026!R26</f>
        <v>12.71</v>
      </c>
      <c r="K18" s="19"/>
      <c r="L18" s="20"/>
      <c r="M18" s="21"/>
      <c r="N18" s="20">
        <f t="shared" si="12"/>
        <v>1999</v>
      </c>
      <c r="O18" s="15">
        <f t="shared" si="7"/>
        <v>1.2526699624283171</v>
      </c>
      <c r="P18" s="15">
        <f t="shared" si="11"/>
        <v>0.82878861221555633</v>
      </c>
      <c r="Q18" s="15"/>
      <c r="R18" s="15"/>
      <c r="S18" s="15"/>
      <c r="T18" s="15">
        <f t="shared" si="8"/>
        <v>0.82100381863895833</v>
      </c>
      <c r="U18" s="15">
        <f t="shared" si="9"/>
        <v>0.87141860927078407</v>
      </c>
      <c r="V18" s="15"/>
      <c r="W18" s="15">
        <f t="shared" si="10"/>
        <v>1.0310650887573964</v>
      </c>
      <c r="X18" s="15"/>
      <c r="Y18" s="15"/>
      <c r="Z18"/>
      <c r="AA18"/>
      <c r="AB18"/>
      <c r="AC18"/>
      <c r="AD18"/>
      <c r="AE18" s="12"/>
      <c r="AF18"/>
      <c r="AG18" s="13"/>
      <c r="AH18" s="13"/>
      <c r="AI18" s="13"/>
      <c r="AJ18" s="13"/>
      <c r="AK18" s="13"/>
      <c r="AL18" s="1"/>
      <c r="AM18" s="7"/>
      <c r="AN18" s="7"/>
      <c r="AO18" s="7"/>
    </row>
    <row r="19" spans="1:41">
      <c r="A19" s="20">
        <f>+MED_CPUE_2026!A27</f>
        <v>2000</v>
      </c>
      <c r="B19" s="20">
        <f>+MED_CPUE_2026!B27</f>
        <v>171.51</v>
      </c>
      <c r="C19" s="49">
        <f>+MED_CPUE_2026!D27</f>
        <v>134.68064809360803</v>
      </c>
      <c r="D19" s="49"/>
      <c r="E19" s="20"/>
      <c r="F19" s="20"/>
      <c r="G19" s="20">
        <f>+MED_CPUE_2026!L27</f>
        <v>4.6590999999999996</v>
      </c>
      <c r="H19" s="20">
        <f>+MED_CPUE_2026!N27</f>
        <v>121.4987</v>
      </c>
      <c r="I19" s="20"/>
      <c r="J19" s="20">
        <f>+MED_CPUE_2026!R27</f>
        <v>14.92</v>
      </c>
      <c r="K19" s="19"/>
      <c r="L19" s="20"/>
      <c r="M19" s="21"/>
      <c r="N19" s="20">
        <f t="shared" si="12"/>
        <v>2000</v>
      </c>
      <c r="O19" s="15">
        <f t="shared" si="7"/>
        <v>1.0310270911607671</v>
      </c>
      <c r="P19" s="15">
        <f t="shared" si="11"/>
        <v>1.0954484807281957</v>
      </c>
      <c r="Q19" s="15"/>
      <c r="R19" s="15"/>
      <c r="S19" s="15"/>
      <c r="T19" s="15">
        <f t="shared" si="8"/>
        <v>0.6813813978803609</v>
      </c>
      <c r="U19" s="15">
        <f t="shared" si="9"/>
        <v>1.2329052112969281</v>
      </c>
      <c r="V19" s="15"/>
      <c r="W19" s="15">
        <f t="shared" si="10"/>
        <v>1.2103454857797289</v>
      </c>
      <c r="X19" s="15"/>
      <c r="Y19" s="15"/>
      <c r="Z19"/>
      <c r="AA19"/>
      <c r="AB19"/>
      <c r="AC19"/>
      <c r="AD19"/>
      <c r="AE19" s="12"/>
      <c r="AF19" s="13"/>
      <c r="AG19" s="14"/>
      <c r="AH19"/>
      <c r="AI19"/>
      <c r="AJ19" s="12"/>
      <c r="AK19" s="14"/>
      <c r="AL19" s="1"/>
      <c r="AM19" s="7"/>
      <c r="AN19" s="7"/>
      <c r="AO19" s="7"/>
    </row>
    <row r="20" spans="1:41">
      <c r="A20" s="20">
        <f>+MED_CPUE_2026!A28</f>
        <v>2001</v>
      </c>
      <c r="B20" s="20">
        <f>+MED_CPUE_2026!B28</f>
        <v>174.74</v>
      </c>
      <c r="C20" s="49">
        <f>+MED_CPUE_2026!D28</f>
        <v>181.62454039875297</v>
      </c>
      <c r="D20" s="49"/>
      <c r="E20" s="20"/>
      <c r="F20" s="20"/>
      <c r="G20" s="20">
        <f>+MED_CPUE_2026!L28</f>
        <v>6.0998000000000001</v>
      </c>
      <c r="H20" s="20">
        <f>+MED_CPUE_2026!N28</f>
        <v>83.625399999999999</v>
      </c>
      <c r="I20" s="20"/>
      <c r="J20" s="20">
        <f>+MED_CPUE_2026!R28</f>
        <v>13.06</v>
      </c>
      <c r="K20" s="19"/>
      <c r="L20" s="20"/>
      <c r="M20" s="21"/>
      <c r="N20" s="20">
        <f t="shared" si="12"/>
        <v>2001</v>
      </c>
      <c r="O20" s="15">
        <f t="shared" si="7"/>
        <v>1.0504441368400237</v>
      </c>
      <c r="P20" s="15">
        <f t="shared" si="11"/>
        <v>1.4772747952956535</v>
      </c>
      <c r="Q20" s="15"/>
      <c r="R20" s="15"/>
      <c r="S20" s="15"/>
      <c r="T20" s="15">
        <f t="shared" si="8"/>
        <v>0.89208006928175532</v>
      </c>
      <c r="U20" s="15">
        <f t="shared" si="9"/>
        <v>0.8485867869927014</v>
      </c>
      <c r="V20" s="15"/>
      <c r="W20" s="15">
        <f t="shared" si="10"/>
        <v>1.0594579118152319</v>
      </c>
      <c r="X20" s="15"/>
      <c r="Y20" s="15"/>
      <c r="Z20"/>
      <c r="AA20"/>
      <c r="AB20"/>
      <c r="AC20"/>
      <c r="AD20"/>
      <c r="AE20" s="12"/>
      <c r="AF20" s="13"/>
      <c r="AG20" s="14"/>
      <c r="AH20"/>
      <c r="AI20"/>
      <c r="AJ20" s="12"/>
      <c r="AK20" s="14"/>
      <c r="AL20" s="1"/>
      <c r="AM20" s="7"/>
      <c r="AN20" s="7"/>
      <c r="AO20" s="7"/>
    </row>
    <row r="21" spans="1:41">
      <c r="A21" s="20">
        <f>+MED_CPUE_2026!A29</f>
        <v>2002</v>
      </c>
      <c r="B21" s="20">
        <f>+MED_CPUE_2026!B29</f>
        <v>143.12</v>
      </c>
      <c r="C21" s="49">
        <f>+MED_CPUE_2026!D29</f>
        <v>140.32481066801699</v>
      </c>
      <c r="D21" s="49"/>
      <c r="E21" s="20"/>
      <c r="F21" s="20"/>
      <c r="G21" s="20">
        <f>+MED_CPUE_2026!L29</f>
        <v>11.2956</v>
      </c>
      <c r="H21" s="20">
        <f>+MED_CPUE_2026!N29</f>
        <v>125.3074</v>
      </c>
      <c r="I21" s="20"/>
      <c r="J21" s="19"/>
      <c r="K21" s="19"/>
      <c r="L21" s="20"/>
      <c r="M21" s="21"/>
      <c r="N21" s="20">
        <f t="shared" si="12"/>
        <v>2002</v>
      </c>
      <c r="O21" s="15">
        <f t="shared" si="7"/>
        <v>0.86036147913782868</v>
      </c>
      <c r="P21" s="15">
        <f t="shared" si="11"/>
        <v>1.1413562589029926</v>
      </c>
      <c r="Q21" s="15"/>
      <c r="R21" s="15"/>
      <c r="S21" s="15"/>
      <c r="T21" s="15">
        <f t="shared" si="8"/>
        <v>1.651952462470736</v>
      </c>
      <c r="U21" s="15">
        <f t="shared" si="9"/>
        <v>1.2715539053016096</v>
      </c>
      <c r="V21" s="15"/>
      <c r="W21" s="20"/>
      <c r="X21" s="15"/>
      <c r="Y21" s="15"/>
      <c r="Z21"/>
      <c r="AA21"/>
      <c r="AB21"/>
      <c r="AC21"/>
      <c r="AD21"/>
      <c r="AE21" s="12"/>
      <c r="AF21" s="13"/>
      <c r="AG21" s="14"/>
      <c r="AH21"/>
      <c r="AI21"/>
      <c r="AJ21" s="12"/>
      <c r="AK21" s="14"/>
      <c r="AL21" s="1"/>
      <c r="AM21" s="7"/>
      <c r="AN21" s="7"/>
      <c r="AO21" s="7"/>
    </row>
    <row r="22" spans="1:41">
      <c r="A22" s="20">
        <f>+MED_CPUE_2026!A30</f>
        <v>2003</v>
      </c>
      <c r="B22" s="20">
        <f>+MED_CPUE_2026!B30</f>
        <v>170.91</v>
      </c>
      <c r="C22" s="49">
        <f>+MED_CPUE_2026!D30</f>
        <v>152.27809100162099</v>
      </c>
      <c r="D22" s="49"/>
      <c r="E22" s="20"/>
      <c r="F22" s="20"/>
      <c r="G22" s="20">
        <f>+MED_CPUE_2026!L30</f>
        <v>7.0759999999999996</v>
      </c>
      <c r="H22" s="20">
        <f>+MED_CPUE_2026!N30</f>
        <v>80.783600000000007</v>
      </c>
      <c r="I22" s="20"/>
      <c r="J22" s="19"/>
      <c r="K22" s="19"/>
      <c r="L22" s="20"/>
      <c r="M22" s="17"/>
      <c r="N22" s="20">
        <f t="shared" si="12"/>
        <v>2003</v>
      </c>
      <c r="O22" s="15">
        <f t="shared" si="7"/>
        <v>1.0274202096104408</v>
      </c>
      <c r="P22" s="15">
        <f t="shared" si="11"/>
        <v>1.2385803439256886</v>
      </c>
      <c r="Q22" s="15"/>
      <c r="R22" s="15"/>
      <c r="S22" s="15"/>
      <c r="T22" s="15">
        <f t="shared" si="8"/>
        <v>1.0348468097704351</v>
      </c>
      <c r="U22" s="15">
        <f t="shared" si="9"/>
        <v>0.8197496880816546</v>
      </c>
      <c r="V22" s="15"/>
      <c r="W22" s="20"/>
      <c r="X22" s="15"/>
      <c r="Y22" s="15"/>
      <c r="Z22"/>
      <c r="AA22"/>
      <c r="AB22"/>
      <c r="AC22"/>
      <c r="AD22"/>
      <c r="AE22" s="12"/>
      <c r="AF22" s="13"/>
      <c r="AG22" s="14"/>
      <c r="AH22"/>
      <c r="AI22"/>
      <c r="AJ22" s="12"/>
      <c r="AK22" s="14"/>
      <c r="AL22" s="1"/>
      <c r="AM22" s="7"/>
      <c r="AN22" s="7"/>
      <c r="AO22" s="7"/>
    </row>
    <row r="23" spans="1:41">
      <c r="A23" s="20">
        <f>+MED_CPUE_2026!A31</f>
        <v>2004</v>
      </c>
      <c r="B23" s="20">
        <f>+MED_CPUE_2026!B31</f>
        <v>172.18</v>
      </c>
      <c r="C23" s="49">
        <f>+MED_CPUE_2026!D31</f>
        <v>98.85778569132529</v>
      </c>
      <c r="D23" s="49"/>
      <c r="E23" s="20"/>
      <c r="F23" s="20"/>
      <c r="G23" s="20">
        <f>+MED_CPUE_2026!L31</f>
        <v>5.0777000000000001</v>
      </c>
      <c r="H23" s="20">
        <f>+MED_CPUE_2026!N31</f>
        <v>60.114199999999997</v>
      </c>
      <c r="I23" s="20"/>
      <c r="J23" s="20">
        <f>+MED_CPUE_2026!R31</f>
        <v>15.15</v>
      </c>
      <c r="K23" s="19"/>
      <c r="L23" s="20"/>
      <c r="M23" s="17"/>
      <c r="N23" s="20">
        <f t="shared" si="12"/>
        <v>2004</v>
      </c>
      <c r="O23" s="15">
        <f t="shared" si="7"/>
        <v>1.0350547755586315</v>
      </c>
      <c r="P23" s="15">
        <f t="shared" si="11"/>
        <v>0.80407699752415651</v>
      </c>
      <c r="Q23" s="15"/>
      <c r="R23" s="15"/>
      <c r="S23" s="15"/>
      <c r="T23" s="15">
        <f t="shared" si="8"/>
        <v>0.74260057178792238</v>
      </c>
      <c r="U23" s="15">
        <f t="shared" si="9"/>
        <v>0.61000743590627549</v>
      </c>
      <c r="V23" s="15"/>
      <c r="W23" s="15">
        <f t="shared" si="10"/>
        <v>1.2290036266463065</v>
      </c>
      <c r="X23" s="15"/>
      <c r="Y23" s="15"/>
      <c r="Z23"/>
      <c r="AA23"/>
      <c r="AB23"/>
      <c r="AC23"/>
      <c r="AD23"/>
      <c r="AE23" s="12"/>
      <c r="AF23" s="13"/>
      <c r="AG23" s="14"/>
      <c r="AH23"/>
      <c r="AI23"/>
      <c r="AJ23" s="12"/>
      <c r="AK23" s="14"/>
      <c r="AL23" s="1"/>
      <c r="AM23" s="7"/>
      <c r="AN23" s="7"/>
      <c r="AO23" s="7"/>
    </row>
    <row r="24" spans="1:41">
      <c r="A24" s="20">
        <f>+MED_CPUE_2026!A32</f>
        <v>2005</v>
      </c>
      <c r="B24" s="20">
        <f>+MED_CPUE_2026!B32</f>
        <v>170.75</v>
      </c>
      <c r="C24" s="49">
        <f>+MED_CPUE_2026!D32</f>
        <v>80.801293697656007</v>
      </c>
      <c r="D24" s="49"/>
      <c r="E24" s="20"/>
      <c r="F24" s="20"/>
      <c r="G24" s="20">
        <f>+MED_CPUE_2026!L32</f>
        <v>6.2751999999999999</v>
      </c>
      <c r="H24" s="20">
        <f>+MED_CPUE_2026!N32</f>
        <v>81.707099999999997</v>
      </c>
      <c r="I24" s="20"/>
      <c r="J24" s="20">
        <f>+MED_CPUE_2026!R32</f>
        <v>12.07</v>
      </c>
      <c r="K24" s="19"/>
      <c r="L24" s="20"/>
      <c r="M24" s="17"/>
      <c r="N24" s="20">
        <f t="shared" si="12"/>
        <v>2005</v>
      </c>
      <c r="O24" s="15">
        <f t="shared" si="7"/>
        <v>1.0264583745303539</v>
      </c>
      <c r="P24" s="15">
        <f t="shared" si="11"/>
        <v>0.65721137873089053</v>
      </c>
      <c r="Q24" s="15"/>
      <c r="R24" s="15"/>
      <c r="S24" s="15"/>
      <c r="T24" s="15">
        <f t="shared" si="8"/>
        <v>0.91773186838205689</v>
      </c>
      <c r="U24" s="15">
        <f t="shared" si="9"/>
        <v>0.82912088269223638</v>
      </c>
      <c r="V24" s="15"/>
      <c r="W24" s="15">
        <f t="shared" si="10"/>
        <v>0.97914678373735442</v>
      </c>
      <c r="X24" s="15"/>
      <c r="Y24" s="15"/>
      <c r="Z24"/>
      <c r="AA24"/>
      <c r="AB24"/>
      <c r="AC24"/>
      <c r="AD24"/>
      <c r="AE24" s="12"/>
      <c r="AF24" s="13"/>
      <c r="AG24" s="14"/>
      <c r="AH24"/>
      <c r="AI24"/>
      <c r="AJ24" s="12"/>
      <c r="AK24" s="14"/>
      <c r="AL24" s="1"/>
      <c r="AM24" s="7"/>
      <c r="AN24" s="7"/>
      <c r="AO24" s="7"/>
    </row>
    <row r="25" spans="1:41">
      <c r="A25" s="20">
        <f>+MED_CPUE_2026!A33</f>
        <v>2006</v>
      </c>
      <c r="B25" s="20">
        <f>+MED_CPUE_2026!B33</f>
        <v>180.52</v>
      </c>
      <c r="C25" s="49">
        <f>+MED_CPUE_2026!D33</f>
        <v>125.04793784732099</v>
      </c>
      <c r="D25" s="49"/>
      <c r="E25" s="20"/>
      <c r="F25" s="20"/>
      <c r="G25" s="20">
        <f>+MED_CPUE_2026!L33</f>
        <v>7.0103</v>
      </c>
      <c r="H25" s="20">
        <f>+MED_CPUE_2026!N33</f>
        <v>108.5994</v>
      </c>
      <c r="I25" s="20"/>
      <c r="J25" s="20">
        <f>+MED_CPUE_2026!R33</f>
        <v>30.74</v>
      </c>
      <c r="K25" s="19"/>
      <c r="L25" s="20"/>
      <c r="M25" s="17"/>
      <c r="N25" s="20">
        <f t="shared" si="12"/>
        <v>2006</v>
      </c>
      <c r="O25" s="15">
        <f t="shared" si="7"/>
        <v>1.0851904291081669</v>
      </c>
      <c r="P25" s="15">
        <f t="shared" si="11"/>
        <v>1.017099156204186</v>
      </c>
      <c r="Q25" s="15"/>
      <c r="R25" s="15"/>
      <c r="S25" s="15"/>
      <c r="T25" s="15">
        <f t="shared" si="8"/>
        <v>1.02523835366502</v>
      </c>
      <c r="U25" s="15">
        <f t="shared" si="9"/>
        <v>1.1020098668028515</v>
      </c>
      <c r="V25" s="15"/>
      <c r="W25" s="15">
        <f t="shared" si="10"/>
        <v>2.4937010879938915</v>
      </c>
      <c r="X25" s="15"/>
      <c r="Y25" s="15"/>
      <c r="Z25"/>
      <c r="AA25"/>
      <c r="AB25"/>
      <c r="AC25"/>
      <c r="AD25"/>
      <c r="AE25" s="12"/>
      <c r="AF25" s="13"/>
      <c r="AG25" s="14"/>
      <c r="AH25"/>
      <c r="AI25"/>
      <c r="AJ25" s="12"/>
      <c r="AK25" s="14"/>
      <c r="AL25" s="1"/>
      <c r="AM25" s="7"/>
      <c r="AN25" s="7"/>
      <c r="AO25" s="7"/>
    </row>
    <row r="26" spans="1:41">
      <c r="A26" s="20">
        <f>+MED_CPUE_2026!A34</f>
        <v>2007</v>
      </c>
      <c r="B26" s="20">
        <f>+MED_CPUE_2026!B34</f>
        <v>183.8</v>
      </c>
      <c r="C26" s="49">
        <f>+MED_CPUE_2026!D34</f>
        <v>239.99924094052997</v>
      </c>
      <c r="D26" s="49"/>
      <c r="E26" s="20"/>
      <c r="F26" s="20"/>
      <c r="G26" s="20">
        <f>+MED_CPUE_2026!L34</f>
        <v>9.3298000000000005</v>
      </c>
      <c r="H26" s="20">
        <f>+MED_CPUE_2026!N34</f>
        <v>118.58710000000001</v>
      </c>
      <c r="I26" s="20"/>
      <c r="J26" s="19"/>
      <c r="K26" s="19"/>
      <c r="L26" s="20"/>
      <c r="M26" s="17"/>
      <c r="N26" s="20">
        <f t="shared" si="12"/>
        <v>2007</v>
      </c>
      <c r="O26" s="15">
        <f t="shared" si="7"/>
        <v>1.1049080482499505</v>
      </c>
      <c r="P26" s="15">
        <f t="shared" si="11"/>
        <v>1.9520755771942366</v>
      </c>
      <c r="Q26" s="15"/>
      <c r="R26" s="15"/>
      <c r="S26" s="15"/>
      <c r="T26" s="15">
        <f t="shared" si="8"/>
        <v>1.3644592659406736</v>
      </c>
      <c r="U26" s="15">
        <f t="shared" si="9"/>
        <v>1.2033598185214323</v>
      </c>
      <c r="V26" s="15"/>
      <c r="W26" s="20"/>
      <c r="X26" s="15"/>
      <c r="Y26" s="15"/>
      <c r="Z26"/>
      <c r="AA26"/>
      <c r="AB26"/>
      <c r="AC26"/>
      <c r="AD26"/>
      <c r="AE26" s="12"/>
      <c r="AF26" s="13"/>
      <c r="AG26" s="14"/>
      <c r="AH26"/>
      <c r="AI26"/>
      <c r="AJ26" s="12"/>
      <c r="AK26" s="14"/>
      <c r="AL26" s="1"/>
      <c r="AM26" s="7"/>
      <c r="AN26" s="7"/>
      <c r="AO26" s="7"/>
    </row>
    <row r="27" spans="1:41">
      <c r="A27" s="20">
        <f>+MED_CPUE_2026!A35</f>
        <v>2008</v>
      </c>
      <c r="B27" s="20">
        <f>+MED_CPUE_2026!B35</f>
        <v>171.93</v>
      </c>
      <c r="C27" s="49">
        <f>+MED_CPUE_2026!D35</f>
        <v>208.17562577479887</v>
      </c>
      <c r="D27" s="49"/>
      <c r="E27" s="20"/>
      <c r="F27" s="20"/>
      <c r="G27" s="20">
        <f>+MED_CPUE_2026!L35</f>
        <v>8.6974</v>
      </c>
      <c r="H27" s="20">
        <f>+MED_CPUE_2026!N35</f>
        <v>153.37280000000001</v>
      </c>
      <c r="I27" s="20"/>
      <c r="J27" s="20">
        <f>+MED_CPUE_2026!R35</f>
        <v>3.29</v>
      </c>
      <c r="K27" s="19"/>
      <c r="L27" s="20"/>
      <c r="M27" s="17"/>
      <c r="N27" s="20">
        <f t="shared" si="12"/>
        <v>2008</v>
      </c>
      <c r="O27" s="15">
        <f t="shared" si="7"/>
        <v>1.0335519082459956</v>
      </c>
      <c r="P27" s="15">
        <f t="shared" si="11"/>
        <v>1.693232667110012</v>
      </c>
      <c r="Q27" s="15"/>
      <c r="R27" s="15"/>
      <c r="S27" s="15"/>
      <c r="T27" s="15">
        <f t="shared" si="8"/>
        <v>1.2719723916474537</v>
      </c>
      <c r="U27" s="15">
        <f t="shared" si="9"/>
        <v>1.5563468941741887</v>
      </c>
      <c r="V27" s="15"/>
      <c r="W27" s="15">
        <f t="shared" si="10"/>
        <v>0.26689253674365337</v>
      </c>
      <c r="X27" s="15"/>
      <c r="Y27" s="15"/>
      <c r="Z27"/>
      <c r="AA27"/>
      <c r="AB27"/>
      <c r="AC27"/>
      <c r="AD27"/>
      <c r="AE27" s="12"/>
      <c r="AF27" s="13"/>
      <c r="AG27" s="14"/>
      <c r="AH27"/>
      <c r="AI27"/>
      <c r="AJ27" s="12"/>
      <c r="AK27" s="14"/>
      <c r="AL27" s="1"/>
      <c r="AM27" s="7"/>
      <c r="AN27" s="7"/>
      <c r="AO27" s="7"/>
    </row>
    <row r="28" spans="1:41">
      <c r="A28" s="20">
        <f>+MED_CPUE_2026!A36</f>
        <v>2009</v>
      </c>
      <c r="B28" s="20">
        <f>+MED_CPUE_2026!B36</f>
        <v>159.22</v>
      </c>
      <c r="C28" s="49">
        <f>+MED_CPUE_2026!D36</f>
        <v>123.387333996587</v>
      </c>
      <c r="D28" s="49"/>
      <c r="E28" s="20"/>
      <c r="F28" s="20"/>
      <c r="G28" s="20">
        <f>+MED_CPUE_2026!L36</f>
        <v>4.9981</v>
      </c>
      <c r="H28" s="20">
        <f>+MED_CPUE_2026!N36</f>
        <v>99.0274</v>
      </c>
      <c r="I28" s="20"/>
      <c r="J28" s="20">
        <f>+MED_CPUE_2026!R36</f>
        <v>1.97</v>
      </c>
      <c r="K28" s="19"/>
      <c r="L28" s="20"/>
      <c r="M28" s="17"/>
      <c r="N28" s="20">
        <f t="shared" si="12"/>
        <v>2009</v>
      </c>
      <c r="O28" s="15">
        <f t="shared" si="7"/>
        <v>0.95714613407158389</v>
      </c>
      <c r="P28" s="15">
        <f t="shared" si="11"/>
        <v>1.0035923459004994</v>
      </c>
      <c r="Q28" s="15"/>
      <c r="R28" s="15"/>
      <c r="S28" s="15"/>
      <c r="T28" s="15">
        <f t="shared" si="8"/>
        <v>0.73095927641515146</v>
      </c>
      <c r="U28" s="15">
        <f t="shared" si="9"/>
        <v>1.0048782210936036</v>
      </c>
      <c r="V28" s="15"/>
      <c r="W28" s="15">
        <f t="shared" si="10"/>
        <v>0.15981103263981675</v>
      </c>
      <c r="X28" s="15"/>
      <c r="Y28" s="15"/>
      <c r="Z28"/>
      <c r="AA28"/>
      <c r="AB28"/>
      <c r="AC28"/>
      <c r="AD28"/>
      <c r="AE28" s="12"/>
      <c r="AF28" s="13"/>
      <c r="AG28" s="14"/>
      <c r="AH28"/>
      <c r="AI28"/>
      <c r="AJ28" s="12"/>
      <c r="AK28" s="14"/>
      <c r="AL28" s="1"/>
      <c r="AM28" s="7"/>
      <c r="AN28" s="7"/>
      <c r="AO28" s="7"/>
    </row>
    <row r="29" spans="1:41">
      <c r="A29" s="20">
        <f>+MED_CPUE_2026!A37</f>
        <v>2010</v>
      </c>
      <c r="B29" s="20">
        <f>+MED_CPUE_2026!B37</f>
        <v>178.51</v>
      </c>
      <c r="C29" s="49"/>
      <c r="D29" s="49">
        <f>+MED_CPUE_2026!F37</f>
        <v>336.73</v>
      </c>
      <c r="E29" s="20">
        <f>+MED_CPUE_2026!H37</f>
        <v>8.9499999999999993</v>
      </c>
      <c r="F29" s="20"/>
      <c r="G29" s="20">
        <f>+MED_CPUE_2026!L37</f>
        <v>5.5175999999999998</v>
      </c>
      <c r="H29" s="20">
        <f>+MED_CPUE_2026!N37</f>
        <v>106.1998</v>
      </c>
      <c r="I29" s="20"/>
      <c r="J29" s="20"/>
      <c r="K29" s="19"/>
      <c r="L29" s="20"/>
      <c r="M29" s="17"/>
      <c r="N29" s="20">
        <f t="shared" si="12"/>
        <v>2010</v>
      </c>
      <c r="O29" s="15">
        <f t="shared" si="7"/>
        <v>1.0731073759145737</v>
      </c>
      <c r="P29" s="15"/>
      <c r="Q29" s="15">
        <f t="shared" ref="Q29:Q42" si="13">+D29/D$2</f>
        <v>1.7617325012145448</v>
      </c>
      <c r="R29" s="15">
        <f t="shared" ref="R29:R42" si="14">+E29/E$2</f>
        <v>1.3942361188383221</v>
      </c>
      <c r="S29" s="15"/>
      <c r="T29" s="15">
        <f t="shared" si="8"/>
        <v>0.80693481593970506</v>
      </c>
      <c r="U29" s="15">
        <f t="shared" si="9"/>
        <v>1.0776599820301904</v>
      </c>
      <c r="V29" s="15"/>
      <c r="W29" s="20"/>
      <c r="X29" s="15"/>
      <c r="Y29" s="15"/>
      <c r="Z29"/>
      <c r="AA29"/>
      <c r="AB29"/>
      <c r="AC29"/>
      <c r="AD29"/>
      <c r="AE29" s="12"/>
      <c r="AF29" s="13"/>
      <c r="AG29" s="14"/>
      <c r="AH29"/>
      <c r="AI29"/>
      <c r="AJ29" s="12"/>
      <c r="AK29" s="14"/>
      <c r="AL29" s="1"/>
      <c r="AM29" s="7"/>
      <c r="AN29" s="7"/>
      <c r="AO29" s="7"/>
    </row>
    <row r="30" spans="1:41">
      <c r="A30" s="20">
        <f>+MED_CPUE_2026!A38</f>
        <v>2011</v>
      </c>
      <c r="B30" s="20">
        <f>+MED_CPUE_2026!B38</f>
        <v>149.11000000000001</v>
      </c>
      <c r="C30" s="49"/>
      <c r="D30" s="49">
        <f>+MED_CPUE_2026!F38</f>
        <v>246.91</v>
      </c>
      <c r="E30" s="20">
        <f>+MED_CPUE_2026!H38</f>
        <v>7.69</v>
      </c>
      <c r="F30" s="20"/>
      <c r="G30" s="20">
        <f>+MED_CPUE_2026!L38</f>
        <v>6.2457000000000003</v>
      </c>
      <c r="H30" s="20">
        <f>+MED_CPUE_2026!N38</f>
        <v>101.9984</v>
      </c>
      <c r="I30" s="20"/>
      <c r="J30" s="20"/>
      <c r="K30" s="19"/>
      <c r="L30" s="20"/>
      <c r="M30" s="17"/>
      <c r="N30" s="20">
        <f t="shared" si="12"/>
        <v>2011</v>
      </c>
      <c r="O30" s="15">
        <f t="shared" si="7"/>
        <v>0.89637017994858614</v>
      </c>
      <c r="P30" s="15"/>
      <c r="Q30" s="15">
        <f t="shared" si="13"/>
        <v>1.2918046264808103</v>
      </c>
      <c r="R30" s="15">
        <f t="shared" si="14"/>
        <v>1.1979525981973964</v>
      </c>
      <c r="S30" s="15"/>
      <c r="T30" s="15">
        <f t="shared" si="8"/>
        <v>0.91341756921752504</v>
      </c>
      <c r="U30" s="15">
        <f t="shared" si="9"/>
        <v>1.0350263739772407</v>
      </c>
      <c r="V30" s="15"/>
      <c r="W30" s="20"/>
      <c r="X30" s="15"/>
      <c r="Y30" s="15"/>
      <c r="Z30"/>
      <c r="AA30"/>
      <c r="AB30"/>
      <c r="AC30"/>
      <c r="AD30"/>
      <c r="AE30" s="12"/>
      <c r="AF30" s="13"/>
      <c r="AG30" s="14"/>
      <c r="AH30"/>
      <c r="AI30"/>
      <c r="AJ30" s="12"/>
      <c r="AK30" s="14"/>
      <c r="AL30" s="1"/>
      <c r="AM30" s="7"/>
      <c r="AN30" s="7"/>
      <c r="AO30" s="7"/>
    </row>
    <row r="31" spans="1:41">
      <c r="A31" s="20">
        <f>+MED_CPUE_2026!A39</f>
        <v>2012</v>
      </c>
      <c r="B31" s="20">
        <f>+MED_CPUE_2026!B39</f>
        <v>137.97999999999999</v>
      </c>
      <c r="C31" s="49"/>
      <c r="D31" s="49">
        <f>+MED_CPUE_2026!F39</f>
        <v>156.27000000000001</v>
      </c>
      <c r="E31" s="20">
        <f>+MED_CPUE_2026!H39</f>
        <v>6.08</v>
      </c>
      <c r="F31" s="20">
        <f>+MED_CPUE_2026!J39</f>
        <v>72.099999999999994</v>
      </c>
      <c r="G31" s="20">
        <f>+MED_CPUE_2026!L39</f>
        <v>8.5123999999999995</v>
      </c>
      <c r="H31" s="20">
        <f>+MED_CPUE_2026!N39</f>
        <v>135.04740000000001</v>
      </c>
      <c r="I31" s="20">
        <f>+MED_CPUE_2026!P39</f>
        <v>111.1996</v>
      </c>
      <c r="J31" s="20"/>
      <c r="K31" s="19"/>
      <c r="L31" s="20"/>
      <c r="M31" s="17"/>
      <c r="N31" s="20">
        <f t="shared" si="12"/>
        <v>2012</v>
      </c>
      <c r="O31" s="15">
        <f t="shared" si="7"/>
        <v>0.82946252719003344</v>
      </c>
      <c r="P31" s="15"/>
      <c r="Q31" s="15">
        <f t="shared" si="13"/>
        <v>0.81758660637542524</v>
      </c>
      <c r="R31" s="15">
        <f t="shared" si="14"/>
        <v>0.94714587737843559</v>
      </c>
      <c r="S31" s="15">
        <f t="shared" ref="S31:S43" si="15">+F31/F$2</f>
        <v>0.65431064572425823</v>
      </c>
      <c r="T31" s="15">
        <f t="shared" si="8"/>
        <v>1.2449166172258128</v>
      </c>
      <c r="U31" s="15">
        <f t="shared" si="9"/>
        <v>1.3703903270742879</v>
      </c>
      <c r="V31" s="15">
        <f t="shared" ref="V31:V43" si="16">+I31/I$2</f>
        <v>1.496164099239423</v>
      </c>
      <c r="W31" s="20"/>
      <c r="X31" s="15"/>
      <c r="Y31" s="15"/>
      <c r="Z31"/>
      <c r="AA31"/>
      <c r="AB31"/>
      <c r="AC31"/>
      <c r="AD31"/>
      <c r="AE31" s="12"/>
      <c r="AF31" s="13"/>
      <c r="AG31" s="14"/>
      <c r="AH31"/>
      <c r="AI31"/>
      <c r="AJ31" s="12"/>
      <c r="AK31" s="14"/>
      <c r="AL31" s="1"/>
      <c r="AM31" s="7"/>
      <c r="AN31" s="7"/>
      <c r="AO31" s="7"/>
    </row>
    <row r="32" spans="1:41">
      <c r="A32" s="20">
        <f>+MED_CPUE_2026!A40</f>
        <v>2013</v>
      </c>
      <c r="B32" s="20">
        <f>+MED_CPUE_2026!B40</f>
        <v>217.8</v>
      </c>
      <c r="C32" s="49"/>
      <c r="D32" s="49">
        <f>+MED_CPUE_2026!F40</f>
        <v>171.67</v>
      </c>
      <c r="E32" s="20">
        <f>+MED_CPUE_2026!H40</f>
        <v>5.9</v>
      </c>
      <c r="F32" s="20">
        <f>+MED_CPUE_2026!J40</f>
        <v>140.19999999999999</v>
      </c>
      <c r="G32" s="20">
        <f>+MED_CPUE_2026!L40</f>
        <v>6.6513</v>
      </c>
      <c r="H32" s="20">
        <f>+MED_CPUE_2026!N40</f>
        <v>89.253799999999998</v>
      </c>
      <c r="I32" s="20">
        <f>+MED_CPUE_2026!P40</f>
        <v>155.75700000000001</v>
      </c>
      <c r="J32" s="19"/>
      <c r="K32" s="19"/>
      <c r="L32" s="20"/>
      <c r="M32" s="17"/>
      <c r="N32" s="20">
        <f t="shared" si="12"/>
        <v>2013</v>
      </c>
      <c r="O32" s="15">
        <f t="shared" si="7"/>
        <v>1.3092980027684398</v>
      </c>
      <c r="P32" s="15"/>
      <c r="Q32" s="15">
        <f t="shared" si="13"/>
        <v>0.89815762920886433</v>
      </c>
      <c r="R32" s="15">
        <f t="shared" si="14"/>
        <v>0.91910537442973195</v>
      </c>
      <c r="S32" s="15">
        <f t="shared" si="15"/>
        <v>1.2723211169284467</v>
      </c>
      <c r="T32" s="15">
        <f t="shared" si="8"/>
        <v>0.97273552654410622</v>
      </c>
      <c r="U32" s="15">
        <f t="shared" si="9"/>
        <v>0.90570084410823948</v>
      </c>
      <c r="V32" s="15">
        <f t="shared" si="16"/>
        <v>2.0956732902387674</v>
      </c>
      <c r="W32" s="15"/>
      <c r="X32" s="15"/>
      <c r="Y32" s="15"/>
      <c r="Z32"/>
      <c r="AA32"/>
      <c r="AB32"/>
      <c r="AC32"/>
      <c r="AD32"/>
      <c r="AE32" s="12"/>
      <c r="AF32" s="13"/>
      <c r="AG32" s="14"/>
      <c r="AH32"/>
      <c r="AI32"/>
      <c r="AJ32" s="12"/>
      <c r="AK32" s="14"/>
      <c r="AL32" s="1"/>
      <c r="AM32" s="7"/>
      <c r="AN32" s="7"/>
      <c r="AO32" s="7"/>
    </row>
    <row r="33" spans="1:41">
      <c r="A33" s="20">
        <f>+MED_CPUE_2026!A41</f>
        <v>2014</v>
      </c>
      <c r="B33" s="20">
        <f>+MED_CPUE_2026!B41</f>
        <v>171.6</v>
      </c>
      <c r="C33" s="49"/>
      <c r="D33" s="49">
        <f>+MED_CPUE_2026!F41</f>
        <v>245.33</v>
      </c>
      <c r="E33" s="20">
        <f>+MED_CPUE_2026!H41</f>
        <v>9.6</v>
      </c>
      <c r="F33" s="20">
        <f>+MED_CPUE_2026!J41</f>
        <v>140.9</v>
      </c>
      <c r="G33" s="20">
        <f>+MED_CPUE_2026!L41</f>
        <v>6.8518999999999997</v>
      </c>
      <c r="H33" s="20">
        <f>+MED_CPUE_2026!N41</f>
        <v>96.435199999999995</v>
      </c>
      <c r="I33" s="20">
        <f>+MED_CPUE_2026!P41</f>
        <v>77.266400000000004</v>
      </c>
      <c r="J33" s="19"/>
      <c r="K33" s="19"/>
      <c r="L33" s="20"/>
      <c r="M33" s="17"/>
      <c r="N33" s="20">
        <f t="shared" si="12"/>
        <v>2014</v>
      </c>
      <c r="O33" s="15">
        <f t="shared" si="7"/>
        <v>1.031568123393316</v>
      </c>
      <c r="P33" s="15"/>
      <c r="Q33" s="15">
        <f t="shared" si="13"/>
        <v>1.2835382488134834</v>
      </c>
      <c r="R33" s="15">
        <f t="shared" si="14"/>
        <v>1.4954934905975299</v>
      </c>
      <c r="S33" s="15">
        <f t="shared" si="15"/>
        <v>1.2786736474694591</v>
      </c>
      <c r="T33" s="15">
        <f t="shared" si="8"/>
        <v>1.0020727608629232</v>
      </c>
      <c r="U33" s="15">
        <f t="shared" si="9"/>
        <v>0.97857393233393863</v>
      </c>
      <c r="V33" s="15">
        <f t="shared" si="16"/>
        <v>1.0396009855923309</v>
      </c>
      <c r="W33" s="15"/>
      <c r="X33" s="15"/>
      <c r="Y33" s="15"/>
      <c r="Z33"/>
      <c r="AA33"/>
      <c r="AB33"/>
      <c r="AC33"/>
      <c r="AD33"/>
      <c r="AE33" s="12"/>
      <c r="AF33" s="13"/>
      <c r="AG33" s="14"/>
      <c r="AH33"/>
      <c r="AI33"/>
      <c r="AJ33" s="12"/>
      <c r="AK33" s="14"/>
      <c r="AL33" s="1"/>
      <c r="AM33" s="7"/>
      <c r="AN33" s="7"/>
      <c r="AO33" s="7"/>
    </row>
    <row r="34" spans="1:41">
      <c r="A34" s="20">
        <f>+MED_CPUE_2026!A42</f>
        <v>2015</v>
      </c>
      <c r="B34" s="20">
        <f>+MED_CPUE_2026!B42</f>
        <v>148.27000000000001</v>
      </c>
      <c r="C34" s="49"/>
      <c r="D34" s="49">
        <f>+MED_CPUE_2026!F42</f>
        <v>158.99</v>
      </c>
      <c r="E34" s="20">
        <f>+MED_CPUE_2026!H42</f>
        <v>5.36</v>
      </c>
      <c r="F34" s="20">
        <f>+MED_CPUE_2026!J42</f>
        <v>180.3</v>
      </c>
      <c r="G34" s="20">
        <f>+MED_CPUE_2026!L42</f>
        <v>6.8243</v>
      </c>
      <c r="H34" s="20">
        <f>+MED_CPUE_2026!N42</f>
        <v>86.127799999999993</v>
      </c>
      <c r="I34" s="20">
        <f>+MED_CPUE_2026!P42</f>
        <v>88.1798</v>
      </c>
      <c r="J34" s="19"/>
      <c r="K34" s="19"/>
      <c r="L34" s="20"/>
      <c r="M34" s="17"/>
      <c r="N34" s="20">
        <f t="shared" si="12"/>
        <v>2015</v>
      </c>
      <c r="O34" s="15">
        <f t="shared" si="7"/>
        <v>0.89132054577812936</v>
      </c>
      <c r="P34" s="15"/>
      <c r="Q34" s="15">
        <f t="shared" si="13"/>
        <v>0.83181733248626644</v>
      </c>
      <c r="R34" s="15">
        <f t="shared" si="14"/>
        <v>0.83498386558362092</v>
      </c>
      <c r="S34" s="15">
        <f t="shared" si="15"/>
        <v>1.6362303664921467</v>
      </c>
      <c r="T34" s="15">
        <f t="shared" si="8"/>
        <v>0.99803633181407303</v>
      </c>
      <c r="U34" s="15">
        <f t="shared" si="9"/>
        <v>0.87397983235655652</v>
      </c>
      <c r="V34" s="15">
        <f t="shared" si="16"/>
        <v>1.1864381799764789</v>
      </c>
      <c r="W34" s="15"/>
      <c r="X34" s="15"/>
      <c r="Y34" s="15"/>
      <c r="Z34"/>
      <c r="AA34"/>
      <c r="AB34"/>
      <c r="AC34"/>
      <c r="AD34"/>
      <c r="AE34" s="12"/>
      <c r="AF34" s="13"/>
      <c r="AG34" s="14"/>
      <c r="AH34"/>
      <c r="AI34"/>
      <c r="AJ34" s="12"/>
      <c r="AK34" s="14"/>
      <c r="AL34" s="1"/>
      <c r="AM34" s="7"/>
      <c r="AN34" s="7"/>
      <c r="AO34" s="7"/>
    </row>
    <row r="35" spans="1:41">
      <c r="A35" s="20">
        <f>+MED_CPUE_2026!A43</f>
        <v>2016</v>
      </c>
      <c r="B35" s="20">
        <f>+MED_CPUE_2026!B43</f>
        <v>165.22</v>
      </c>
      <c r="C35" s="49"/>
      <c r="D35" s="49">
        <f>+MED_CPUE_2026!F43</f>
        <v>197.82</v>
      </c>
      <c r="E35" s="20">
        <f>+MED_CPUE_2026!H43</f>
        <v>7.7</v>
      </c>
      <c r="F35" s="20">
        <f>+MED_CPUE_2026!J43</f>
        <v>132.6</v>
      </c>
      <c r="G35" s="20">
        <f>+MED_CPUE_2026!L43</f>
        <v>6.8734999999999999</v>
      </c>
      <c r="H35" s="20">
        <f>+MED_CPUE_2026!N43</f>
        <v>70.599199999999996</v>
      </c>
      <c r="I35" s="20">
        <f>+MED_CPUE_2026!P43</f>
        <v>87.318399999999997</v>
      </c>
      <c r="J35" s="19"/>
      <c r="K35" s="19"/>
      <c r="L35" s="20"/>
      <c r="M35" s="17"/>
      <c r="N35" s="20">
        <f t="shared" si="12"/>
        <v>2016</v>
      </c>
      <c r="O35" s="15">
        <f t="shared" si="7"/>
        <v>0.99321494957484668</v>
      </c>
      <c r="P35" s="15"/>
      <c r="Q35" s="15">
        <f t="shared" si="13"/>
        <v>1.0349714114877238</v>
      </c>
      <c r="R35" s="15">
        <f t="shared" si="14"/>
        <v>1.1995104039167688</v>
      </c>
      <c r="S35" s="15">
        <f t="shared" si="15"/>
        <v>1.203350785340314</v>
      </c>
      <c r="T35" s="15">
        <f t="shared" si="8"/>
        <v>1.0052317053359363</v>
      </c>
      <c r="U35" s="15">
        <f t="shared" si="9"/>
        <v>0.71640372772214089</v>
      </c>
      <c r="V35" s="15">
        <f t="shared" si="16"/>
        <v>1.1748482484022211</v>
      </c>
      <c r="W35" s="15"/>
      <c r="X35" s="20"/>
      <c r="Y35" s="15"/>
      <c r="Z35"/>
      <c r="AA35"/>
      <c r="AB35"/>
      <c r="AC35"/>
      <c r="AD35"/>
      <c r="AE35" s="12"/>
      <c r="AF35" s="13"/>
      <c r="AG35" s="14"/>
      <c r="AH35"/>
      <c r="AI35"/>
      <c r="AJ35" s="12"/>
      <c r="AK35" s="14"/>
      <c r="AM35" s="7"/>
      <c r="AN35" s="7"/>
      <c r="AO35" s="7"/>
    </row>
    <row r="36" spans="1:41">
      <c r="A36" s="20">
        <f>+MED_CPUE_2026!A44</f>
        <v>2017</v>
      </c>
      <c r="B36" s="20">
        <f>+MED_CPUE_2026!B44</f>
        <v>108.6</v>
      </c>
      <c r="C36" s="49"/>
      <c r="D36" s="49">
        <f>+MED_CPUE_2026!F44</f>
        <v>179.97</v>
      </c>
      <c r="E36" s="20">
        <f>+MED_CPUE_2026!H44</f>
        <v>6.46</v>
      </c>
      <c r="F36" s="20">
        <f>+MED_CPUE_2026!J44</f>
        <v>117.7</v>
      </c>
      <c r="G36" s="20">
        <f>+MED_CPUE_2026!L44</f>
        <v>6.4325999999999999</v>
      </c>
      <c r="H36" s="20">
        <f>+MED_CPUE_2026!N44</f>
        <v>124.6284</v>
      </c>
      <c r="I36" s="20">
        <f>+MED_CPUE_2026!P44</f>
        <v>57.423499999999997</v>
      </c>
      <c r="J36" s="19"/>
      <c r="K36" s="19"/>
      <c r="L36" s="20"/>
      <c r="M36" s="17"/>
      <c r="N36" s="20">
        <f t="shared" si="12"/>
        <v>2017</v>
      </c>
      <c r="O36" s="15">
        <f t="shared" si="7"/>
        <v>0.65284556060905663</v>
      </c>
      <c r="P36" s="15"/>
      <c r="Q36" s="15">
        <f t="shared" si="13"/>
        <v>0.94158227138532835</v>
      </c>
      <c r="R36" s="15">
        <f t="shared" si="14"/>
        <v>1.0063424947145878</v>
      </c>
      <c r="S36" s="15">
        <f t="shared" si="15"/>
        <v>1.068132635253054</v>
      </c>
      <c r="T36" s="15">
        <f t="shared" si="8"/>
        <v>0.94075121375484749</v>
      </c>
      <c r="U36" s="15">
        <f t="shared" si="9"/>
        <v>1.2646637687119127</v>
      </c>
      <c r="V36" s="15">
        <f t="shared" si="16"/>
        <v>0.77261949820570397</v>
      </c>
      <c r="W36" s="15"/>
      <c r="X36" s="20"/>
      <c r="Y36" s="15"/>
      <c r="Z36"/>
      <c r="AA36"/>
      <c r="AB36"/>
      <c r="AC36"/>
      <c r="AD36"/>
      <c r="AE36" s="12"/>
      <c r="AF36" s="13"/>
      <c r="AG36" s="14"/>
      <c r="AH36"/>
      <c r="AI36"/>
      <c r="AJ36" s="12"/>
      <c r="AK36" s="14"/>
      <c r="AM36" s="7"/>
      <c r="AN36" s="7"/>
      <c r="AO36" s="7"/>
    </row>
    <row r="37" spans="1:41">
      <c r="A37" s="20">
        <f>+MED_CPUE_2026!A45</f>
        <v>2018</v>
      </c>
      <c r="B37" s="20">
        <f>+MED_CPUE_2026!B45</f>
        <v>123.62</v>
      </c>
      <c r="C37" s="49"/>
      <c r="D37" s="49">
        <f>+MED_CPUE_2026!F45</f>
        <v>121.06</v>
      </c>
      <c r="E37" s="20">
        <f>+MED_CPUE_2026!H45</f>
        <v>4.12</v>
      </c>
      <c r="F37" s="20">
        <f>+MED_CPUE_2026!J45</f>
        <v>74.2</v>
      </c>
      <c r="G37" s="20">
        <f>+MED_CPUE_2026!L45</f>
        <v>5.1405000000000003</v>
      </c>
      <c r="H37" s="20">
        <f>+MED_CPUE_2026!N45</f>
        <v>106.9404</v>
      </c>
      <c r="I37" s="20">
        <f>+MED_CPUE_2026!P45</f>
        <v>63.629100000000001</v>
      </c>
      <c r="J37" s="19"/>
      <c r="K37" s="19"/>
      <c r="L37" s="20"/>
      <c r="M37" s="17"/>
      <c r="N37" s="20">
        <f t="shared" si="12"/>
        <v>2018</v>
      </c>
      <c r="O37" s="15">
        <f t="shared" si="7"/>
        <v>0.74313782875222456</v>
      </c>
      <c r="P37" s="15"/>
      <c r="Q37" s="15">
        <f t="shared" si="13"/>
        <v>0.63337194962442545</v>
      </c>
      <c r="R37" s="15">
        <f t="shared" si="14"/>
        <v>0.64181595638143996</v>
      </c>
      <c r="S37" s="15">
        <f t="shared" si="15"/>
        <v>0.67336823734729501</v>
      </c>
      <c r="T37" s="15">
        <f t="shared" si="8"/>
        <v>0.75178491034834971</v>
      </c>
      <c r="U37" s="15">
        <f t="shared" si="9"/>
        <v>1.0851752031764785</v>
      </c>
      <c r="V37" s="15">
        <f t="shared" si="16"/>
        <v>0.85611436630091453</v>
      </c>
      <c r="W37" s="15"/>
      <c r="X37" s="20"/>
      <c r="Y37" s="15"/>
      <c r="Z37"/>
      <c r="AA37"/>
      <c r="AB37"/>
      <c r="AC37"/>
      <c r="AD37"/>
      <c r="AE37" s="12"/>
      <c r="AF37" s="13"/>
      <c r="AG37" s="14"/>
      <c r="AH37"/>
      <c r="AI37"/>
      <c r="AJ37"/>
      <c r="AK37" s="14"/>
      <c r="AM37" s="7"/>
      <c r="AN37" s="7"/>
      <c r="AO37" s="7"/>
    </row>
    <row r="38" spans="1:41">
      <c r="A38" s="20">
        <f>+MED_CPUE_2026!A46</f>
        <v>2019</v>
      </c>
      <c r="B38" s="20">
        <f>+MED_CPUE_2026!B46</f>
        <v>128.25</v>
      </c>
      <c r="C38" s="49"/>
      <c r="D38" s="49">
        <f>+MED_CPUE_2026!F46</f>
        <v>176.47</v>
      </c>
      <c r="E38" s="20">
        <f>+MED_CPUE_2026!H46</f>
        <v>5.74</v>
      </c>
      <c r="F38" s="20">
        <f>+MED_CPUE_2026!J46</f>
        <v>117.3</v>
      </c>
      <c r="G38" s="20">
        <f>+MED_CPUE_2026!L46</f>
        <v>4.7872000000000003</v>
      </c>
      <c r="H38" s="20">
        <f>+MED_CPUE_2026!N46</f>
        <v>79.205500000000001</v>
      </c>
      <c r="I38" s="20">
        <f>+MED_CPUE_2026!P46</f>
        <v>47.145400000000002</v>
      </c>
      <c r="J38" s="19"/>
      <c r="K38" s="19"/>
      <c r="L38" s="20"/>
      <c r="M38" s="17"/>
      <c r="N38" s="20">
        <f t="shared" si="12"/>
        <v>2019</v>
      </c>
      <c r="O38" s="15">
        <f t="shared" si="7"/>
        <v>0.77097093138224237</v>
      </c>
      <c r="P38" s="15"/>
      <c r="Q38" s="15">
        <f t="shared" si="13"/>
        <v>0.9232706752868195</v>
      </c>
      <c r="R38" s="15">
        <f t="shared" si="14"/>
        <v>0.89418048291977315</v>
      </c>
      <c r="S38" s="15">
        <f t="shared" si="15"/>
        <v>1.064502617801047</v>
      </c>
      <c r="T38" s="15">
        <f t="shared" si="8"/>
        <v>0.700115693574481</v>
      </c>
      <c r="U38" s="15">
        <f t="shared" si="9"/>
        <v>0.80373595530963571</v>
      </c>
      <c r="V38" s="15">
        <f t="shared" si="16"/>
        <v>0.63433011381589766</v>
      </c>
      <c r="W38" s="15"/>
      <c r="X38" s="20"/>
      <c r="Y38" s="15"/>
      <c r="Z38"/>
      <c r="AA38"/>
      <c r="AB38"/>
      <c r="AC38"/>
      <c r="AD38"/>
      <c r="AE38" s="12"/>
      <c r="AF38" s="13"/>
      <c r="AG38" s="14"/>
      <c r="AH38"/>
      <c r="AI38"/>
      <c r="AJ38"/>
      <c r="AK38" s="14"/>
      <c r="AM38" s="7"/>
      <c r="AN38" s="7"/>
      <c r="AO38" s="7"/>
    </row>
    <row r="39" spans="1:41">
      <c r="A39" s="20">
        <f>+MED_CPUE_2026!A47</f>
        <v>2020</v>
      </c>
      <c r="B39" s="20">
        <f>+MED_CPUE_2026!B47</f>
        <v>138.79</v>
      </c>
      <c r="C39" s="49"/>
      <c r="D39" s="49">
        <f>+MED_CPUE_2026!F47</f>
        <v>209.34</v>
      </c>
      <c r="E39" s="20">
        <f>+MED_CPUE_2026!H47</f>
        <v>7.13</v>
      </c>
      <c r="F39" s="20">
        <f>+MED_CPUE_2026!J47</f>
        <v>76.900000000000006</v>
      </c>
      <c r="G39" s="20">
        <f>+MED_CPUE_2026!L47</f>
        <v>5.1363000000000003</v>
      </c>
      <c r="H39" s="20">
        <f>+MED_CPUE_2026!N47</f>
        <v>77.893000000000001</v>
      </c>
      <c r="I39" s="20">
        <f>+MED_CPUE_2026!P47</f>
        <v>53.662399999999998</v>
      </c>
      <c r="J39" s="19"/>
      <c r="K39" s="19"/>
      <c r="L39" s="20"/>
      <c r="M39" s="17"/>
      <c r="N39" s="20">
        <f t="shared" si="12"/>
        <v>2020</v>
      </c>
      <c r="O39" s="15">
        <f t="shared" si="7"/>
        <v>0.83433181728297401</v>
      </c>
      <c r="P39" s="15"/>
      <c r="Q39" s="15">
        <f t="shared" si="13"/>
        <v>1.095242722074816</v>
      </c>
      <c r="R39" s="15">
        <f t="shared" si="14"/>
        <v>1.1107154779125405</v>
      </c>
      <c r="S39" s="15">
        <f t="shared" si="15"/>
        <v>0.69787085514834213</v>
      </c>
      <c r="T39" s="15">
        <f t="shared" si="8"/>
        <v>0.75117067114526381</v>
      </c>
      <c r="U39" s="15">
        <f t="shared" si="9"/>
        <v>0.79041739231408747</v>
      </c>
      <c r="V39" s="15">
        <f t="shared" si="16"/>
        <v>0.72201479464877216</v>
      </c>
      <c r="W39" s="15"/>
      <c r="X39" s="20"/>
      <c r="Y39" s="15"/>
      <c r="Z39"/>
      <c r="AA39"/>
      <c r="AB39"/>
      <c r="AC39"/>
      <c r="AD39"/>
      <c r="AE39" s="12"/>
      <c r="AF39" s="13"/>
      <c r="AG39" s="14"/>
      <c r="AH39"/>
      <c r="AJ39"/>
      <c r="AK39" s="14"/>
      <c r="AL39" s="6"/>
      <c r="AM39" s="7"/>
      <c r="AN39" s="7"/>
      <c r="AO39" s="7"/>
    </row>
    <row r="40" spans="1:41">
      <c r="A40" s="20">
        <f>+MED_CPUE_2026!A48</f>
        <v>2021</v>
      </c>
      <c r="B40" s="20">
        <f>+MED_CPUE_2026!B48</f>
        <v>143.04</v>
      </c>
      <c r="C40" s="49"/>
      <c r="D40" s="49">
        <f>+MED_CPUE_2026!F48</f>
        <v>125.77</v>
      </c>
      <c r="E40" s="20">
        <f>+MED_CPUE_2026!H48</f>
        <v>4.1900000000000004</v>
      </c>
      <c r="F40" s="20">
        <f>+MED_CPUE_2026!J48</f>
        <v>67.599999999999994</v>
      </c>
      <c r="G40" s="20">
        <f>+MED_CPUE_2026!L48</f>
        <v>6.6536999999999997</v>
      </c>
      <c r="H40" s="20">
        <f>+MED_CPUE_2026!N48</f>
        <v>93.605000000000004</v>
      </c>
      <c r="I40" s="20">
        <f>+MED_CPUE_2026!P48</f>
        <v>55.356999999999999</v>
      </c>
      <c r="J40" s="19"/>
      <c r="K40" s="19"/>
      <c r="L40" s="20"/>
      <c r="M40" s="17"/>
      <c r="N40" s="20">
        <f t="shared" si="12"/>
        <v>2021</v>
      </c>
      <c r="O40" s="15">
        <f t="shared" si="7"/>
        <v>0.85988056159778514</v>
      </c>
      <c r="P40" s="15"/>
      <c r="Q40" s="15">
        <f t="shared" si="13"/>
        <v>0.65801412608841892</v>
      </c>
      <c r="R40" s="15">
        <f t="shared" si="14"/>
        <v>0.65272059641704694</v>
      </c>
      <c r="S40" s="15">
        <f t="shared" si="15"/>
        <v>0.61347294938917973</v>
      </c>
      <c r="T40" s="15">
        <f t="shared" si="8"/>
        <v>0.97308652037444099</v>
      </c>
      <c r="U40" s="15">
        <f t="shared" si="9"/>
        <v>0.94985454415108106</v>
      </c>
      <c r="V40" s="15">
        <f t="shared" si="16"/>
        <v>0.74481523352239343</v>
      </c>
      <c r="W40" s="15"/>
      <c r="X40" s="20"/>
      <c r="Y40" s="15"/>
      <c r="Z40"/>
      <c r="AA40"/>
      <c r="AB40"/>
      <c r="AC40"/>
      <c r="AD40"/>
      <c r="AE40" s="12"/>
      <c r="AF40" s="13"/>
      <c r="AG40" s="14"/>
      <c r="AH40"/>
      <c r="AJ40"/>
      <c r="AK40" s="14"/>
      <c r="AL40" s="6"/>
      <c r="AM40" s="7"/>
      <c r="AN40" s="7"/>
      <c r="AO40" s="7"/>
    </row>
    <row r="41" spans="1:41">
      <c r="A41" s="20">
        <f>+MED_CPUE_2026!A49</f>
        <v>2022</v>
      </c>
      <c r="B41" s="20">
        <f>+MED_CPUE_2026!B49</f>
        <v>91.21</v>
      </c>
      <c r="C41" s="49"/>
      <c r="D41" s="49">
        <f>+MED_CPUE_2026!F49</f>
        <v>167.22</v>
      </c>
      <c r="E41" s="20">
        <f>+MED_CPUE_2026!H49</f>
        <v>5.16</v>
      </c>
      <c r="F41" s="20">
        <f>+MED_CPUE_2026!J49</f>
        <v>106.3</v>
      </c>
      <c r="G41" s="20">
        <f>+MED_CPUE_2026!L49</f>
        <v>6.1154999999999999</v>
      </c>
      <c r="H41" s="20">
        <f>+MED_CPUE_2026!N49</f>
        <v>91.876099999999994</v>
      </c>
      <c r="I41" s="20">
        <f>+MED_CPUE_2026!P49</f>
        <v>57.3748</v>
      </c>
      <c r="J41" s="19"/>
      <c r="K41" s="19"/>
      <c r="L41" s="20"/>
      <c r="M41" s="17"/>
      <c r="N41" s="20">
        <f t="shared" si="12"/>
        <v>2022</v>
      </c>
      <c r="O41" s="15">
        <f t="shared" si="7"/>
        <v>0.54830611034209997</v>
      </c>
      <c r="P41" s="15"/>
      <c r="Q41" s="15">
        <f t="shared" si="13"/>
        <v>0.87487574274076019</v>
      </c>
      <c r="R41" s="15">
        <f t="shared" si="14"/>
        <v>0.80382775119617234</v>
      </c>
      <c r="S41" s="15">
        <f t="shared" si="15"/>
        <v>0.96467713787085507</v>
      </c>
      <c r="T41" s="15">
        <f t="shared" si="8"/>
        <v>0.89437615392186209</v>
      </c>
      <c r="U41" s="15">
        <f t="shared" si="9"/>
        <v>0.93231057191260225</v>
      </c>
      <c r="V41" s="15">
        <f t="shared" si="16"/>
        <v>0.77196425131962743</v>
      </c>
      <c r="W41" s="15"/>
      <c r="X41" s="20"/>
      <c r="Y41" s="15"/>
      <c r="Z41"/>
      <c r="AA41"/>
      <c r="AB41"/>
      <c r="AC41"/>
      <c r="AD41"/>
      <c r="AE41" s="12"/>
      <c r="AF41" s="13"/>
      <c r="AG41" s="14"/>
      <c r="AH41"/>
      <c r="AI41"/>
      <c r="AJ41" s="14"/>
      <c r="AK41" s="14"/>
      <c r="AL41" s="6"/>
      <c r="AM41" s="7"/>
      <c r="AN41" s="7"/>
      <c r="AO41" s="7"/>
    </row>
    <row r="42" spans="1:41">
      <c r="A42" s="20">
        <f>+MED_CPUE_2026!A50</f>
        <v>2023</v>
      </c>
      <c r="B42" s="20">
        <f>+MED_CPUE_2026!B50</f>
        <v>110.74</v>
      </c>
      <c r="C42" s="49"/>
      <c r="D42" s="49">
        <f>+MED_CPUE_2026!F50</f>
        <v>182.35</v>
      </c>
      <c r="E42" s="20">
        <f>+MED_CPUE_2026!H50</f>
        <v>5.79</v>
      </c>
      <c r="F42" s="20">
        <f>+MED_CPUE_2026!J50</f>
        <v>118.4</v>
      </c>
      <c r="G42" s="20">
        <f>+MED_CPUE_2026!L50</f>
        <v>6.0800999999999998</v>
      </c>
      <c r="H42" s="20">
        <f>+MED_CPUE_2026!N50</f>
        <v>99.397499999999994</v>
      </c>
      <c r="I42" s="20">
        <f>+MED_CPUE_2026!P50</f>
        <v>55.386000000000003</v>
      </c>
      <c r="J42" s="19"/>
      <c r="K42" s="19"/>
      <c r="L42" s="20"/>
      <c r="M42" s="17"/>
      <c r="N42" s="20">
        <f t="shared" si="12"/>
        <v>2023</v>
      </c>
      <c r="O42" s="15">
        <f t="shared" si="7"/>
        <v>0.66571010480522042</v>
      </c>
      <c r="P42" s="15"/>
      <c r="Q42" s="15">
        <f t="shared" si="13"/>
        <v>0.9540341567323144</v>
      </c>
      <c r="R42" s="15">
        <f t="shared" si="14"/>
        <v>0.90196951151663529</v>
      </c>
      <c r="S42" s="15">
        <f t="shared" si="15"/>
        <v>1.0744851657940664</v>
      </c>
      <c r="T42" s="15">
        <f t="shared" si="8"/>
        <v>0.88919899492442378</v>
      </c>
      <c r="U42" s="15">
        <f t="shared" si="9"/>
        <v>1.0086338021714338</v>
      </c>
      <c r="V42" s="15">
        <f t="shared" si="16"/>
        <v>0.74520542160650471</v>
      </c>
      <c r="W42" s="15"/>
      <c r="X42" s="20"/>
      <c r="Y42" s="15"/>
      <c r="Z42"/>
      <c r="AA42"/>
      <c r="AB42"/>
      <c r="AC42"/>
      <c r="AD42"/>
      <c r="AE42" s="12"/>
      <c r="AF42" s="13"/>
      <c r="AG42" s="14"/>
      <c r="AH42"/>
      <c r="AI42" s="14"/>
      <c r="AJ42" s="14"/>
      <c r="AK42" s="14"/>
      <c r="AL42" s="6"/>
      <c r="AM42" s="7"/>
      <c r="AN42" s="7"/>
      <c r="AO42" s="7"/>
    </row>
    <row r="43" spans="1:41">
      <c r="A43" s="20">
        <f>+MED_CPUE_2026!A51</f>
        <v>2024</v>
      </c>
      <c r="B43" s="20">
        <f>+MED_CPUE_2026!B51</f>
        <v>118.74</v>
      </c>
      <c r="C43" s="49"/>
      <c r="D43" s="49"/>
      <c r="E43" s="20"/>
      <c r="F43" s="20">
        <f>+MED_CPUE_2026!J51</f>
        <v>88</v>
      </c>
      <c r="G43" s="20">
        <f>+MED_CPUE_2026!L51</f>
        <v>6.7824</v>
      </c>
      <c r="H43" s="20">
        <f>+MED_CPUE_2026!N51</f>
        <v>72.807000000000002</v>
      </c>
      <c r="I43" s="20">
        <f>+MED_CPUE_2026!P51</f>
        <v>56.501300000000001</v>
      </c>
      <c r="J43" s="19"/>
      <c r="K43" s="19"/>
      <c r="L43" s="20"/>
      <c r="M43" s="17"/>
      <c r="N43" s="20">
        <f t="shared" si="12"/>
        <v>2024</v>
      </c>
      <c r="O43" s="15">
        <f t="shared" si="7"/>
        <v>0.71380185880957081</v>
      </c>
      <c r="P43" s="15"/>
      <c r="Q43" s="15"/>
      <c r="R43" s="15"/>
      <c r="S43" s="15">
        <f t="shared" si="15"/>
        <v>0.79860383944153579</v>
      </c>
      <c r="T43" s="15">
        <f t="shared" si="8"/>
        <v>0.99190856452614462</v>
      </c>
      <c r="U43" s="15">
        <f t="shared" si="9"/>
        <v>0.73880732648905245</v>
      </c>
      <c r="V43" s="15">
        <f t="shared" si="16"/>
        <v>0.76021151713096458</v>
      </c>
      <c r="W43" s="15"/>
      <c r="X43" s="20"/>
      <c r="Y43" s="15"/>
      <c r="Z43"/>
      <c r="AA43"/>
      <c r="AB43"/>
      <c r="AC43"/>
      <c r="AD43"/>
      <c r="AE43" s="12"/>
      <c r="AF43" s="13"/>
      <c r="AG43" s="14"/>
      <c r="AH43"/>
      <c r="AI43" s="14"/>
      <c r="AJ43" s="14"/>
      <c r="AK43" s="14"/>
      <c r="AL43" s="6"/>
      <c r="AM43" s="7"/>
      <c r="AN43" s="7"/>
      <c r="AO43" s="7"/>
    </row>
    <row r="44" spans="1:41">
      <c r="AA44"/>
      <c r="AB44"/>
      <c r="AC44"/>
      <c r="AD44"/>
      <c r="AE44" s="12"/>
      <c r="AF44" s="13"/>
      <c r="AG44" s="14"/>
      <c r="AH44"/>
      <c r="AI44" s="14"/>
      <c r="AJ44" s="14"/>
      <c r="AK44" s="14"/>
      <c r="AL44" s="6"/>
      <c r="AM44" s="7"/>
      <c r="AN44" s="7"/>
      <c r="AO44" s="7"/>
    </row>
    <row r="45" spans="1:41">
      <c r="AA45"/>
      <c r="AB45"/>
      <c r="AC45"/>
      <c r="AD45"/>
      <c r="AE45" s="12"/>
      <c r="AF45" s="13"/>
      <c r="AG45" s="14"/>
      <c r="AH45"/>
      <c r="AI45" s="14"/>
      <c r="AJ45" s="14"/>
      <c r="AK45" s="14"/>
      <c r="AL45" s="7"/>
      <c r="AM45" s="7"/>
      <c r="AN45" s="7"/>
      <c r="AO45" s="7"/>
    </row>
    <row r="46" spans="1:41">
      <c r="AA46"/>
      <c r="AB46"/>
      <c r="AC46"/>
      <c r="AD46"/>
      <c r="AE46" s="12"/>
      <c r="AF46" s="13"/>
      <c r="AG46" s="14"/>
      <c r="AH46"/>
      <c r="AI46" s="14"/>
      <c r="AJ46" s="14"/>
      <c r="AK46" s="14"/>
      <c r="AM46" s="7"/>
      <c r="AO46" s="7"/>
    </row>
    <row r="47" spans="1:41">
      <c r="AA47"/>
      <c r="AB47"/>
      <c r="AC47"/>
      <c r="AD47"/>
      <c r="AE47" s="12"/>
      <c r="AF47" s="13"/>
      <c r="AG47" s="14"/>
      <c r="AH47"/>
      <c r="AI47" s="14"/>
      <c r="AJ47" s="14"/>
      <c r="AK47" s="14"/>
      <c r="AL47" s="6"/>
      <c r="AM47" s="7"/>
      <c r="AO47" s="7"/>
    </row>
    <row r="48" spans="1:41">
      <c r="AA48"/>
      <c r="AB48"/>
      <c r="AC48"/>
      <c r="AD48"/>
      <c r="AE48" s="12"/>
      <c r="AF48" s="13"/>
      <c r="AG48" s="14"/>
      <c r="AH48"/>
      <c r="AI48" s="14"/>
      <c r="AJ48"/>
      <c r="AK48" s="14"/>
      <c r="AL48" s="6"/>
      <c r="AM48" s="7"/>
      <c r="AO48" s="7"/>
    </row>
    <row r="49" spans="27:41">
      <c r="AA49"/>
      <c r="AB49"/>
      <c r="AC49"/>
      <c r="AD49"/>
      <c r="AE49" s="12"/>
      <c r="AF49" s="13"/>
      <c r="AG49" s="14"/>
      <c r="AH49"/>
      <c r="AI49" s="14"/>
      <c r="AJ49" s="14"/>
      <c r="AK49" s="14"/>
      <c r="AL49" s="6"/>
      <c r="AM49" s="7"/>
      <c r="AO49" s="7"/>
    </row>
    <row r="50" spans="27:41">
      <c r="AA50"/>
      <c r="AB50"/>
      <c r="AC50"/>
      <c r="AD50"/>
      <c r="AE50" s="12"/>
      <c r="AF50" s="13"/>
      <c r="AG50" s="14"/>
      <c r="AH50"/>
      <c r="AI50" s="14"/>
      <c r="AJ50" s="14"/>
      <c r="AK50" s="14"/>
      <c r="AL50" s="6"/>
      <c r="AM50" s="7"/>
      <c r="AO50" s="7"/>
    </row>
    <row r="51" spans="27:41">
      <c r="AA51"/>
      <c r="AB51"/>
      <c r="AC51"/>
      <c r="AD51"/>
      <c r="AE51" s="12"/>
      <c r="AF51" s="13"/>
      <c r="AG51" s="14"/>
      <c r="AH51"/>
      <c r="AI51" s="14"/>
      <c r="AJ51" s="14"/>
      <c r="AK51" s="14"/>
      <c r="AL51" s="6"/>
      <c r="AM51" s="7"/>
      <c r="AN51" s="7"/>
      <c r="AO51" s="7"/>
    </row>
    <row r="52" spans="27:41">
      <c r="AA52"/>
      <c r="AB52"/>
      <c r="AC52"/>
      <c r="AD52"/>
      <c r="AE52" s="12"/>
      <c r="AF52" s="13"/>
      <c r="AG52" s="14"/>
      <c r="AH52"/>
      <c r="AI52" s="14"/>
      <c r="AJ52" s="14"/>
      <c r="AK52" s="14"/>
      <c r="AL52" s="6"/>
      <c r="AM52" s="7"/>
      <c r="AN52" s="7"/>
      <c r="AO52" s="7"/>
    </row>
    <row r="53" spans="27:41">
      <c r="AA53"/>
      <c r="AB53"/>
      <c r="AC53"/>
      <c r="AD53"/>
      <c r="AE53" s="12"/>
      <c r="AF53" s="13"/>
      <c r="AG53" s="14"/>
      <c r="AH53"/>
      <c r="AI53" s="14"/>
      <c r="AJ53" s="14"/>
      <c r="AK53" s="14"/>
      <c r="AL53" s="6"/>
      <c r="AM53" s="7"/>
      <c r="AN53" s="7"/>
      <c r="AO53" s="7"/>
    </row>
    <row r="54" spans="27:41">
      <c r="AA54"/>
      <c r="AB54"/>
      <c r="AC54"/>
      <c r="AD54"/>
      <c r="AE54" s="12"/>
      <c r="AF54" s="13"/>
      <c r="AG54" s="14"/>
      <c r="AH54"/>
      <c r="AI54" s="14"/>
      <c r="AJ54" s="14"/>
      <c r="AK54" s="14"/>
      <c r="AL54" s="6"/>
      <c r="AM54" s="7"/>
      <c r="AN54" s="7"/>
      <c r="AO54" s="7"/>
    </row>
    <row r="55" spans="27:41">
      <c r="AH55" s="3"/>
      <c r="AI55" s="6"/>
      <c r="AK55" s="6"/>
      <c r="AL55" s="6"/>
      <c r="AM55" s="7"/>
      <c r="AN55" s="7"/>
      <c r="AO55" s="7"/>
    </row>
    <row r="56" spans="27:41">
      <c r="AH56" s="3"/>
      <c r="AI56" s="6"/>
      <c r="AK56" s="6"/>
      <c r="AL56" s="6"/>
      <c r="AM56" s="7"/>
      <c r="AN56" s="7"/>
      <c r="AO56" s="7"/>
    </row>
    <row r="57" spans="27:41">
      <c r="AH57" s="3"/>
      <c r="AI57" s="6"/>
      <c r="AK57" s="6"/>
      <c r="AL57" s="6"/>
      <c r="AM57" s="7"/>
      <c r="AN57" s="7"/>
      <c r="AO57" s="7"/>
    </row>
    <row r="58" spans="27:41">
      <c r="AH58" s="3"/>
      <c r="AI58" s="6"/>
      <c r="AK58" s="6"/>
      <c r="AL58" s="6"/>
      <c r="AM58" s="7"/>
      <c r="AN58" s="7"/>
      <c r="AO58" s="7"/>
    </row>
    <row r="59" spans="27:41">
      <c r="AH59" s="3"/>
      <c r="AI59" s="6"/>
      <c r="AK59" s="6"/>
      <c r="AL59" s="6"/>
      <c r="AM59" s="7"/>
      <c r="AN59" s="7"/>
      <c r="AO59" s="7"/>
    </row>
    <row r="60" spans="27:41">
      <c r="AH60" s="3"/>
      <c r="AI60" s="6"/>
      <c r="AK60" s="6"/>
      <c r="AL60" s="6"/>
      <c r="AM60" s="7"/>
      <c r="AN60" s="7"/>
      <c r="AO60" s="7"/>
    </row>
    <row r="61" spans="27:41">
      <c r="AH61" s="3"/>
      <c r="AI61" s="6"/>
      <c r="AK61" s="6"/>
      <c r="AL61" s="6"/>
      <c r="AM61" s="7"/>
      <c r="AN61" s="7"/>
      <c r="AO61" s="7"/>
    </row>
    <row r="62" spans="27:41">
      <c r="AH62" s="3"/>
      <c r="AI62" s="6"/>
      <c r="AK62" s="6"/>
      <c r="AL62" s="6"/>
      <c r="AM62" s="7"/>
      <c r="AN62" s="7"/>
      <c r="AO62" s="7"/>
    </row>
    <row r="63" spans="27:41">
      <c r="AH63" s="3"/>
      <c r="AI63" s="6"/>
      <c r="AK63" s="6"/>
      <c r="AL63" s="6"/>
      <c r="AM63" s="7"/>
      <c r="AN63" s="7"/>
      <c r="AO63" s="7"/>
    </row>
    <row r="64" spans="27:41">
      <c r="AH64" s="3"/>
      <c r="AI64" s="6"/>
      <c r="AK64" s="6"/>
      <c r="AL64" s="6"/>
      <c r="AM64" s="7"/>
      <c r="AN64" s="7"/>
      <c r="AO64" s="7"/>
    </row>
    <row r="65" spans="34:41">
      <c r="AH65" s="3"/>
      <c r="AI65" s="6"/>
      <c r="AK65" s="6"/>
      <c r="AL65" s="6"/>
      <c r="AM65" s="7"/>
      <c r="AN65" s="7"/>
      <c r="AO65" s="7"/>
    </row>
    <row r="66" spans="34:41">
      <c r="AH66" s="3"/>
      <c r="AI66" s="6"/>
      <c r="AK66" s="6"/>
      <c r="AL66" s="6"/>
      <c r="AM66" s="7"/>
      <c r="AN66" s="7"/>
      <c r="AO66" s="7"/>
    </row>
    <row r="67" spans="34:41">
      <c r="AH67" s="3"/>
      <c r="AI67" s="6"/>
      <c r="AK67" s="6"/>
      <c r="AL67" s="6"/>
      <c r="AM67" s="7"/>
      <c r="AN67" s="7"/>
      <c r="AO67" s="7"/>
    </row>
    <row r="68" spans="34:41">
      <c r="AH68" s="3"/>
      <c r="AI68" s="6"/>
      <c r="AK68" s="6"/>
      <c r="AL68" s="6"/>
      <c r="AM68" s="7"/>
      <c r="AN68" s="7"/>
      <c r="AO68" s="7"/>
    </row>
    <row r="69" spans="34:41">
      <c r="AH69" s="3"/>
      <c r="AI69" s="6"/>
      <c r="AK69" s="6"/>
      <c r="AL69" s="6"/>
      <c r="AM69" s="7"/>
      <c r="AN69" s="7"/>
      <c r="AO69" s="7"/>
    </row>
    <row r="70" spans="34:41">
      <c r="AH70" s="3"/>
      <c r="AI70" s="6"/>
      <c r="AK70" s="6"/>
      <c r="AL70" s="6"/>
      <c r="AM70" s="7"/>
      <c r="AN70" s="7"/>
      <c r="AO70" s="7"/>
    </row>
    <row r="71" spans="34:41">
      <c r="AH71" s="3"/>
      <c r="AI71" s="6"/>
      <c r="AK71" s="6"/>
      <c r="AL71" s="6"/>
      <c r="AM71" s="7"/>
      <c r="AN71" s="7"/>
      <c r="AO71" s="7"/>
    </row>
    <row r="72" spans="34:41">
      <c r="AH72" s="3"/>
      <c r="AJ72" s="7"/>
      <c r="AK72" s="6"/>
      <c r="AL72" s="6"/>
      <c r="AM72" s="7"/>
      <c r="AN72" s="7"/>
      <c r="AO72" s="7"/>
    </row>
    <row r="73" spans="34:41">
      <c r="AH73" s="3"/>
      <c r="AJ73" s="7"/>
      <c r="AK73" s="6"/>
      <c r="AL73" s="6"/>
      <c r="AM73" s="7"/>
      <c r="AN73" s="7"/>
      <c r="AO73" s="7"/>
    </row>
    <row r="74" spans="34:41">
      <c r="AH74" s="3"/>
      <c r="AJ74" s="7"/>
      <c r="AK74" s="6"/>
      <c r="AL74" s="6"/>
      <c r="AM74" s="7"/>
      <c r="AN74" s="7"/>
      <c r="AO74" s="7"/>
    </row>
    <row r="75" spans="34:41">
      <c r="AH75" s="3"/>
      <c r="AJ75" s="7"/>
      <c r="AK75" s="6"/>
      <c r="AL75" s="7"/>
      <c r="AM75" s="7"/>
      <c r="AN75" s="7"/>
      <c r="AO75" s="7"/>
    </row>
    <row r="76" spans="34:41">
      <c r="AH76" s="3"/>
      <c r="AJ76" s="7"/>
      <c r="AL76" s="7"/>
      <c r="AM76" s="7"/>
      <c r="AN76" s="7"/>
      <c r="AO76" s="7"/>
    </row>
    <row r="77" spans="34:41">
      <c r="AH77" s="3"/>
      <c r="AJ77" s="7"/>
      <c r="AL77" s="7"/>
      <c r="AM77" s="7"/>
      <c r="AN77" s="7"/>
      <c r="AO77" s="7"/>
    </row>
    <row r="78" spans="34:41">
      <c r="AH78" s="3"/>
      <c r="AJ78" s="7"/>
      <c r="AL78" s="7"/>
      <c r="AM78" s="7"/>
      <c r="AN78" s="7"/>
      <c r="AO78" s="7"/>
    </row>
    <row r="79" spans="34:41">
      <c r="AH79" s="3"/>
      <c r="AJ79" s="7"/>
      <c r="AL79" s="7"/>
      <c r="AM79" s="7"/>
      <c r="AN79" s="7"/>
      <c r="AO79" s="7"/>
    </row>
    <row r="80" spans="34:41">
      <c r="AH80" s="3"/>
      <c r="AL80" s="7"/>
      <c r="AM80" s="7"/>
      <c r="AN80" s="7"/>
      <c r="AO80" s="7"/>
    </row>
    <row r="81" spans="34:41">
      <c r="AH81" s="3"/>
      <c r="AL81" s="7"/>
      <c r="AM81" s="7"/>
      <c r="AN81" s="7"/>
      <c r="AO81" s="7"/>
    </row>
    <row r="82" spans="34:41">
      <c r="AH82" s="3"/>
      <c r="AL82" s="7"/>
      <c r="AM82" s="7"/>
      <c r="AN82" s="7"/>
    </row>
    <row r="83" spans="34:41">
      <c r="AH83" s="8"/>
      <c r="AI83" s="1"/>
      <c r="AJ83" s="1"/>
      <c r="AK83" s="1"/>
      <c r="AL83" s="1"/>
      <c r="AM83" s="7"/>
      <c r="AN83" s="7"/>
    </row>
    <row r="84" spans="34:41">
      <c r="AH84" s="1"/>
      <c r="AI84" s="9"/>
    </row>
    <row r="85" spans="34:41">
      <c r="AH85" s="1"/>
      <c r="AI85" s="9"/>
    </row>
    <row r="86" spans="34:41">
      <c r="AH86" s="1"/>
    </row>
    <row r="87" spans="34:41">
      <c r="AH87" s="1"/>
    </row>
    <row r="88" spans="34:41">
      <c r="AH88" s="1"/>
      <c r="AI88" s="9"/>
      <c r="AJ88" s="1"/>
    </row>
    <row r="89" spans="34:41">
      <c r="AH89" s="1"/>
      <c r="AI89" s="9"/>
      <c r="AJ89" s="1"/>
    </row>
    <row r="90" spans="34:41">
      <c r="AJ90" s="1"/>
    </row>
    <row r="91" spans="34:41">
      <c r="AJ91" s="1"/>
    </row>
    <row r="100" spans="37:37">
      <c r="AK100" s="10"/>
    </row>
    <row r="104" spans="37:37">
      <c r="AK104" s="10"/>
    </row>
    <row r="105" spans="37:37">
      <c r="AK105" s="10"/>
    </row>
    <row r="106" spans="37:37">
      <c r="AK106" s="10"/>
    </row>
    <row r="107" spans="37:37">
      <c r="AK107" s="10"/>
    </row>
    <row r="108" spans="37:37">
      <c r="AK108" s="10"/>
    </row>
    <row r="109" spans="37:37">
      <c r="AK109" s="10"/>
    </row>
    <row r="110" spans="37:37">
      <c r="AK110" s="10"/>
    </row>
    <row r="111" spans="37:37">
      <c r="AK111" s="10"/>
    </row>
    <row r="112" spans="37:37">
      <c r="AK112" s="10"/>
    </row>
    <row r="113" spans="37:37">
      <c r="AK113" s="10"/>
    </row>
    <row r="114" spans="37:37">
      <c r="AK114" s="10"/>
    </row>
    <row r="115" spans="37:37">
      <c r="AK115" s="10"/>
    </row>
  </sheetData>
  <pageMargins left="0.78700000000000003" right="0.78700000000000003" top="0.98399999999999999" bottom="0.98399999999999999" header="0" footer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0"/>
  <sheetViews>
    <sheetView zoomScaleNormal="100" workbookViewId="0">
      <selection activeCell="G29" sqref="C4:G29"/>
    </sheetView>
  </sheetViews>
  <sheetFormatPr defaultColWidth="9.140625" defaultRowHeight="18.75"/>
  <cols>
    <col min="1" max="1" width="9.140625" style="58"/>
    <col min="2" max="2" width="25.140625" style="58" customWidth="1"/>
    <col min="3" max="3" width="36.28515625" style="59" customWidth="1"/>
    <col min="4" max="5" width="22.140625" style="59" customWidth="1"/>
    <col min="6" max="6" width="29.28515625" style="59" customWidth="1"/>
    <col min="7" max="7" width="22.140625" style="59" customWidth="1"/>
    <col min="8" max="8" width="24.85546875" style="59" customWidth="1"/>
    <col min="9" max="1011" width="8.5703125" style="58" customWidth="1"/>
    <col min="1012" max="16384" width="9.140625" style="58"/>
  </cols>
  <sheetData>
    <row r="1" spans="1:14">
      <c r="A1" s="67" t="s">
        <v>223</v>
      </c>
      <c r="C1" s="68"/>
      <c r="D1" s="68"/>
      <c r="E1" s="68"/>
      <c r="F1" s="68"/>
      <c r="G1" s="68"/>
      <c r="H1" s="58"/>
    </row>
    <row r="2" spans="1:14">
      <c r="C2" s="58"/>
      <c r="D2" s="50" t="s">
        <v>10</v>
      </c>
      <c r="E2" s="50" t="s">
        <v>194</v>
      </c>
      <c r="F2" s="50" t="s">
        <v>194</v>
      </c>
      <c r="G2" s="50" t="s">
        <v>10</v>
      </c>
    </row>
    <row r="3" spans="1:14" s="60" customFormat="1" ht="20.25">
      <c r="B3" s="58"/>
      <c r="D3" s="60" t="s">
        <v>102</v>
      </c>
      <c r="E3" s="58" t="s">
        <v>218</v>
      </c>
      <c r="F3" s="58" t="s">
        <v>217</v>
      </c>
      <c r="G3" s="58" t="s">
        <v>78</v>
      </c>
      <c r="H3" s="61"/>
      <c r="I3" s="65"/>
      <c r="J3" s="65"/>
      <c r="K3" s="65"/>
      <c r="L3" s="65"/>
      <c r="M3" s="65"/>
      <c r="N3" s="65"/>
    </row>
    <row r="4" spans="1:14" ht="20.25">
      <c r="C4" s="114" t="s">
        <v>108</v>
      </c>
      <c r="D4" s="69" t="s">
        <v>225</v>
      </c>
      <c r="E4" s="80" t="s">
        <v>225</v>
      </c>
      <c r="F4" s="69" t="s">
        <v>225</v>
      </c>
      <c r="G4" s="80" t="s">
        <v>225</v>
      </c>
      <c r="H4" s="61"/>
    </row>
    <row r="5" spans="1:14" ht="25.5">
      <c r="C5" s="114" t="s">
        <v>193</v>
      </c>
      <c r="D5" s="115" t="s">
        <v>11</v>
      </c>
      <c r="E5" s="115" t="s">
        <v>11</v>
      </c>
      <c r="F5" s="115" t="s">
        <v>11</v>
      </c>
      <c r="G5" s="115" t="s">
        <v>11</v>
      </c>
      <c r="H5" s="61"/>
    </row>
    <row r="6" spans="1:14" ht="20.25">
      <c r="C6" s="113" t="s">
        <v>192</v>
      </c>
      <c r="D6" s="116" t="s">
        <v>44</v>
      </c>
      <c r="E6" s="116" t="s">
        <v>46</v>
      </c>
      <c r="F6" s="116" t="s">
        <v>55</v>
      </c>
      <c r="G6" s="116" t="s">
        <v>77</v>
      </c>
      <c r="H6" s="64"/>
    </row>
    <row r="7" spans="1:14" ht="20.25">
      <c r="C7" s="113" t="s">
        <v>191</v>
      </c>
      <c r="D7" s="115" t="s">
        <v>216</v>
      </c>
      <c r="E7" s="115" t="s">
        <v>215</v>
      </c>
      <c r="F7" s="115" t="s">
        <v>241</v>
      </c>
      <c r="G7" s="115" t="s">
        <v>214</v>
      </c>
      <c r="H7" s="61"/>
    </row>
    <row r="8" spans="1:14" s="60" customFormat="1" ht="53.25" customHeight="1">
      <c r="C8" s="117" t="s">
        <v>213</v>
      </c>
      <c r="D8" s="115" t="s">
        <v>212</v>
      </c>
      <c r="E8" s="115" t="s">
        <v>212</v>
      </c>
      <c r="F8" s="118" t="s">
        <v>280</v>
      </c>
      <c r="G8" s="115" t="s">
        <v>211</v>
      </c>
      <c r="H8" s="62"/>
      <c r="I8" s="62"/>
    </row>
    <row r="9" spans="1:14" ht="42.75">
      <c r="A9" s="60"/>
      <c r="C9" s="117" t="s">
        <v>179</v>
      </c>
      <c r="D9" s="115" t="s">
        <v>24</v>
      </c>
      <c r="E9" s="115" t="s">
        <v>11</v>
      </c>
      <c r="F9" s="118" t="s">
        <v>210</v>
      </c>
      <c r="G9" s="115" t="s">
        <v>24</v>
      </c>
      <c r="H9" s="61"/>
    </row>
    <row r="10" spans="1:14" ht="28.5">
      <c r="C10" s="117" t="s">
        <v>177</v>
      </c>
      <c r="D10" s="115"/>
      <c r="E10" s="115" t="s">
        <v>254</v>
      </c>
      <c r="F10" s="119" t="s">
        <v>209</v>
      </c>
      <c r="G10" s="115"/>
      <c r="H10" s="61"/>
    </row>
    <row r="11" spans="1:14" ht="28.5">
      <c r="C11" s="117" t="s">
        <v>208</v>
      </c>
      <c r="D11" s="115" t="s">
        <v>172</v>
      </c>
      <c r="E11" s="115" t="s">
        <v>172</v>
      </c>
      <c r="F11" s="115" t="s">
        <v>172</v>
      </c>
      <c r="G11" s="115" t="s">
        <v>172</v>
      </c>
      <c r="H11" s="61"/>
      <c r="I11" s="60"/>
    </row>
    <row r="12" spans="1:14" ht="28.5">
      <c r="C12" s="117" t="s">
        <v>207</v>
      </c>
      <c r="D12" s="115" t="s">
        <v>169</v>
      </c>
      <c r="E12" s="115" t="s">
        <v>169</v>
      </c>
      <c r="F12" s="115" t="s">
        <v>169</v>
      </c>
      <c r="G12" s="115" t="s">
        <v>169</v>
      </c>
      <c r="H12" s="61"/>
      <c r="I12" s="60"/>
    </row>
    <row r="13" spans="1:14" ht="28.5">
      <c r="C13" s="117" t="s">
        <v>168</v>
      </c>
      <c r="D13" s="115" t="s">
        <v>53</v>
      </c>
      <c r="E13" s="115" t="s">
        <v>11</v>
      </c>
      <c r="F13" s="115" t="s">
        <v>206</v>
      </c>
      <c r="G13" s="115" t="s">
        <v>53</v>
      </c>
      <c r="H13" s="61"/>
    </row>
    <row r="14" spans="1:14" ht="20.25">
      <c r="C14" s="117" t="s">
        <v>167</v>
      </c>
      <c r="D14" s="115" t="s">
        <v>53</v>
      </c>
      <c r="E14" s="115" t="s">
        <v>11</v>
      </c>
      <c r="F14" s="115" t="s">
        <v>11</v>
      </c>
      <c r="G14" s="115" t="s">
        <v>53</v>
      </c>
      <c r="H14" s="61"/>
    </row>
    <row r="15" spans="1:14" ht="20.25">
      <c r="C15" s="117" t="s">
        <v>165</v>
      </c>
      <c r="D15" s="115" t="s">
        <v>53</v>
      </c>
      <c r="E15" s="115" t="s">
        <v>11</v>
      </c>
      <c r="F15" s="115" t="s">
        <v>11</v>
      </c>
      <c r="G15" s="115" t="s">
        <v>53</v>
      </c>
      <c r="H15" s="61"/>
    </row>
    <row r="16" spans="1:14" ht="20.25">
      <c r="C16" s="120" t="s">
        <v>163</v>
      </c>
      <c r="D16" s="115" t="s">
        <v>205</v>
      </c>
      <c r="E16" s="115" t="s">
        <v>204</v>
      </c>
      <c r="F16" s="115" t="s">
        <v>67</v>
      </c>
      <c r="G16" s="115" t="s">
        <v>203</v>
      </c>
      <c r="H16" s="61"/>
    </row>
    <row r="17" spans="1:9" ht="20.25">
      <c r="C17" s="120" t="s">
        <v>158</v>
      </c>
      <c r="D17" s="115" t="s">
        <v>157</v>
      </c>
      <c r="E17" s="115" t="s">
        <v>157</v>
      </c>
      <c r="F17" s="115" t="s">
        <v>157</v>
      </c>
      <c r="G17" s="115" t="s">
        <v>157</v>
      </c>
      <c r="H17" s="61"/>
    </row>
    <row r="18" spans="1:9" ht="28.5">
      <c r="C18" s="117" t="s">
        <v>154</v>
      </c>
      <c r="D18" s="121" t="s">
        <v>152</v>
      </c>
      <c r="E18" s="121" t="s">
        <v>256</v>
      </c>
      <c r="F18" s="121" t="s">
        <v>152</v>
      </c>
      <c r="G18" s="121" t="s">
        <v>152</v>
      </c>
      <c r="H18" s="63"/>
    </row>
    <row r="19" spans="1:9" ht="20.25">
      <c r="C19" s="117" t="s">
        <v>150</v>
      </c>
      <c r="D19" s="115" t="s">
        <v>148</v>
      </c>
      <c r="E19" s="115" t="s">
        <v>149</v>
      </c>
      <c r="F19" s="115" t="s">
        <v>148</v>
      </c>
      <c r="G19" s="115" t="s">
        <v>149</v>
      </c>
      <c r="H19" s="61"/>
    </row>
    <row r="20" spans="1:9" ht="28.5">
      <c r="C20" s="117" t="s">
        <v>147</v>
      </c>
      <c r="D20" s="115" t="s">
        <v>142</v>
      </c>
      <c r="E20" s="115" t="s">
        <v>142</v>
      </c>
      <c r="F20" s="115" t="s">
        <v>142</v>
      </c>
      <c r="G20" s="115" t="s">
        <v>143</v>
      </c>
      <c r="H20" s="61"/>
    </row>
    <row r="21" spans="1:9" ht="28.5">
      <c r="C21" s="117" t="s">
        <v>144</v>
      </c>
      <c r="D21" s="115" t="s">
        <v>143</v>
      </c>
      <c r="E21" s="115" t="s">
        <v>142</v>
      </c>
      <c r="F21" s="115" t="s">
        <v>142</v>
      </c>
      <c r="G21" s="115" t="s">
        <v>143</v>
      </c>
      <c r="H21" s="61"/>
    </row>
    <row r="22" spans="1:9" ht="57">
      <c r="C22" s="117" t="s">
        <v>202</v>
      </c>
      <c r="D22" s="115" t="s">
        <v>11</v>
      </c>
      <c r="E22" s="115" t="s">
        <v>11</v>
      </c>
      <c r="F22" s="115" t="s">
        <v>11</v>
      </c>
      <c r="G22" s="115" t="s">
        <v>24</v>
      </c>
      <c r="H22" s="61"/>
    </row>
    <row r="23" spans="1:9" ht="28.5">
      <c r="C23" s="120" t="s">
        <v>201</v>
      </c>
      <c r="D23" s="115" t="s">
        <v>138</v>
      </c>
      <c r="E23" s="122" t="s">
        <v>136</v>
      </c>
      <c r="F23" s="115" t="s">
        <v>136</v>
      </c>
      <c r="G23" s="115" t="s">
        <v>136</v>
      </c>
      <c r="H23" s="61"/>
    </row>
    <row r="24" spans="1:9" ht="28.5">
      <c r="C24" s="120" t="s">
        <v>134</v>
      </c>
      <c r="D24" s="115" t="s">
        <v>133</v>
      </c>
      <c r="E24" s="115" t="s">
        <v>133</v>
      </c>
      <c r="F24" s="115" t="s">
        <v>133</v>
      </c>
      <c r="G24" s="115" t="s">
        <v>133</v>
      </c>
      <c r="H24" s="61"/>
    </row>
    <row r="25" spans="1:9" ht="20.25">
      <c r="C25" s="107" t="s">
        <v>131</v>
      </c>
      <c r="D25" s="115" t="s">
        <v>11</v>
      </c>
      <c r="E25" s="115" t="s">
        <v>11</v>
      </c>
      <c r="F25" s="115" t="s">
        <v>11</v>
      </c>
      <c r="G25" s="115" t="s">
        <v>11</v>
      </c>
      <c r="H25" s="61"/>
    </row>
    <row r="26" spans="1:9" ht="28.5">
      <c r="C26" s="117" t="s">
        <v>130</v>
      </c>
      <c r="D26" s="115" t="s">
        <v>11</v>
      </c>
      <c r="E26" s="115" t="s">
        <v>11</v>
      </c>
      <c r="F26" s="115" t="s">
        <v>11</v>
      </c>
      <c r="G26" s="115" t="s">
        <v>11</v>
      </c>
      <c r="H26" s="61"/>
    </row>
    <row r="27" spans="1:9" ht="28.5">
      <c r="C27" s="117" t="s">
        <v>128</v>
      </c>
      <c r="D27" s="123"/>
      <c r="E27" s="123"/>
      <c r="F27" s="123"/>
      <c r="G27" s="123"/>
      <c r="H27" s="62"/>
    </row>
    <row r="28" spans="1:9" ht="39" customHeight="1">
      <c r="C28" s="117" t="s">
        <v>126</v>
      </c>
      <c r="D28" s="115"/>
      <c r="E28" s="115"/>
      <c r="F28" s="115"/>
      <c r="G28" s="115"/>
      <c r="H28" s="61"/>
    </row>
    <row r="29" spans="1:9" ht="85.5">
      <c r="C29" s="117" t="s">
        <v>200</v>
      </c>
      <c r="D29" s="115" t="s">
        <v>253</v>
      </c>
      <c r="E29" s="115" t="s">
        <v>255</v>
      </c>
      <c r="F29" s="115" t="s">
        <v>199</v>
      </c>
      <c r="G29" s="115" t="s">
        <v>198</v>
      </c>
      <c r="H29" s="61"/>
    </row>
    <row r="32" spans="1:9" s="60" customFormat="1" ht="45">
      <c r="A32" s="53" t="s">
        <v>185</v>
      </c>
      <c r="B32" s="54"/>
      <c r="C32" s="97" t="s">
        <v>184</v>
      </c>
      <c r="D32" s="108" t="s">
        <v>180</v>
      </c>
      <c r="E32" s="108" t="s">
        <v>181</v>
      </c>
      <c r="F32" s="109" t="s">
        <v>183</v>
      </c>
      <c r="G32" s="108" t="s">
        <v>181</v>
      </c>
      <c r="H32" s="62"/>
      <c r="I32" s="62"/>
    </row>
    <row r="34" spans="3:8" ht="15">
      <c r="C34" s="60"/>
      <c r="D34" s="60"/>
      <c r="E34" s="60"/>
      <c r="F34" s="60"/>
      <c r="G34" s="60"/>
      <c r="H34" s="60"/>
    </row>
    <row r="35" spans="3:8" ht="15">
      <c r="C35" s="60"/>
      <c r="D35" s="60"/>
      <c r="E35" s="60"/>
      <c r="F35" s="60"/>
      <c r="G35" s="60"/>
      <c r="H35" s="60"/>
    </row>
    <row r="36" spans="3:8" ht="15">
      <c r="C36" s="60"/>
      <c r="D36" s="60"/>
      <c r="E36" s="60"/>
      <c r="F36" s="60"/>
      <c r="G36" s="60"/>
      <c r="H36" s="60"/>
    </row>
    <row r="37" spans="3:8" ht="15">
      <c r="C37" s="60"/>
      <c r="D37" s="60"/>
      <c r="E37" s="60"/>
      <c r="F37" s="60"/>
      <c r="G37" s="60"/>
      <c r="H37" s="60"/>
    </row>
    <row r="38" spans="3:8" ht="15">
      <c r="C38" s="60"/>
      <c r="D38" s="60"/>
      <c r="E38" s="60"/>
      <c r="F38" s="60"/>
      <c r="G38" s="60"/>
      <c r="H38" s="60"/>
    </row>
    <row r="39" spans="3:8" ht="15">
      <c r="C39" s="60"/>
      <c r="D39" s="60"/>
      <c r="E39" s="60"/>
      <c r="F39" s="60"/>
      <c r="G39" s="60"/>
      <c r="H39" s="60"/>
    </row>
    <row r="40" spans="3:8" ht="15">
      <c r="C40" s="60"/>
      <c r="D40" s="60"/>
      <c r="E40" s="60"/>
      <c r="F40" s="60"/>
      <c r="G40" s="60"/>
      <c r="H40" s="60"/>
    </row>
  </sheetData>
  <dataValidations count="14">
    <dataValidation type="list" allowBlank="1" showInputMessage="1" showErrorMessage="1" sqref="D13:H15 G9:H9 D9:E9" xr:uid="{00000000-0002-0000-0500-000000000000}">
      <formula1>"Yes, No, NA"</formula1>
    </dataValidation>
    <dataValidation type="list" allowBlank="1" showInputMessage="1" showErrorMessage="1" sqref="G10:H10 D10:E10" xr:uid="{00000000-0002-0000-0500-000001000000}">
      <formula1>"0-10%, 11-20%, 21-30%, 31-40%, 41-50%, 51-60%, 61-70%, 71-80%, 81-90%, 91-100%"</formula1>
    </dataValidation>
    <dataValidation type="list" allowBlank="1" showInputMessage="1" showErrorMessage="1" sqref="H16" xr:uid="{00000000-0002-0000-0500-000002000000}">
      <formula1>"Atlantic, Atl N, Atl S, Atl NW, Atl NE, Atl SW, Atl SE, Tropical, Med, Localised (&lt; 10 x 10 degrees)"</formula1>
    </dataValidation>
    <dataValidation type="list" allowBlank="1" showInputMessage="1" showErrorMessage="1" sqref="D18:H18" xr:uid="{00000000-0002-0000-0500-000003000000}">
      <formula1>"1-5, 6-10, 11 or more"</formula1>
    </dataValidation>
    <dataValidation type="list" errorStyle="warning" allowBlank="1" showInputMessage="1" showErrorMessage="1" sqref="E16" xr:uid="{00000000-0002-0000-0500-000004000000}">
      <formula1>"Atlantic, Atl N, Atl S, Atl NW, Atl NE, Atl SW, Atl SE, Tropical, Med, Localised (&lt; 10 x 10 degrees)"</formula1>
    </dataValidation>
    <dataValidation type="list" allowBlank="1" showInputMessage="1" showErrorMessage="1" sqref="D11:H11" xr:uid="{00000000-0002-0000-0500-000005000000}">
      <formula1>"Sufficient, Incomplete, None"</formula1>
    </dataValidation>
    <dataValidation type="list" allowBlank="1" showInputMessage="1" showErrorMessage="1" sqref="D12:H12" xr:uid="{00000000-0002-0000-0500-000006000000}">
      <formula1>"Well, Mixed, Poorly"</formula1>
    </dataValidation>
    <dataValidation type="list" allowBlank="1" showInputMessage="1" showErrorMessage="1" sqref="D17:H17" xr:uid="{00000000-0002-0000-0500-000007000000}">
      <formula1>"Set, trip, OTH"</formula1>
    </dataValidation>
    <dataValidation type="list" allowBlank="1" showInputMessage="1" showErrorMessage="1" sqref="D19:H19" xr:uid="{00000000-0002-0000-0500-000008000000}">
      <formula1>"0-5 years, 6-10 years, 11-20 years, longer than 20 years"</formula1>
    </dataValidation>
    <dataValidation type="list" allowBlank="1" showInputMessage="1" showErrorMessage="1" sqref="D20:H21" xr:uid="{00000000-0002-0000-0500-000009000000}">
      <formula1>"None, Few, Many"</formula1>
    </dataValidation>
    <dataValidation type="list" allowBlank="1" showInputMessage="1" showErrorMessage="1" sqref="D22:H22 D25:H26 D28:H28" xr:uid="{00000000-0002-0000-0500-00000A000000}">
      <formula1>"Yes, No"</formula1>
    </dataValidation>
    <dataValidation type="list" allowBlank="1" showInputMessage="1" showErrorMessage="1" sqref="D23:H23" xr:uid="{00000000-0002-0000-0500-00000B000000}">
      <formula1>"High, Medium, Low, Variable"</formula1>
    </dataValidation>
    <dataValidation type="list" allowBlank="1" showInputMessage="1" showErrorMessage="1" sqref="D24:H24" xr:uid="{00000000-0002-0000-0500-00000C000000}">
      <formula1>"Likely, Possible, Unlikely"</formula1>
    </dataValidation>
    <dataValidation type="list" allowBlank="1" showInputMessage="1" showErrorMessage="1" sqref="D27:H27" xr:uid="{00000000-0002-0000-0500-00000D000000}">
      <formula1>"Acoustic, Larval, Aerial, Other (explain below)"</formula1>
    </dataValidation>
  </dataValidations>
  <pageMargins left="0.7" right="0.7" top="0.75" bottom="0.75" header="0.51180599999999998" footer="0.51180599999999998"/>
  <pageSetup paperSize="9" fitToWidth="0" useFirstPageNumber="1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U78"/>
  <sheetViews>
    <sheetView topLeftCell="DH4" zoomScaleNormal="100" workbookViewId="0">
      <selection activeCell="EE20" sqref="EE20"/>
    </sheetView>
  </sheetViews>
  <sheetFormatPr defaultRowHeight="15"/>
  <sheetData>
    <row r="1" spans="1:125">
      <c r="A1" t="s">
        <v>108</v>
      </c>
      <c r="B1" t="s">
        <v>109</v>
      </c>
      <c r="C1" t="s">
        <v>109</v>
      </c>
      <c r="D1" t="s">
        <v>109</v>
      </c>
      <c r="E1" t="s">
        <v>109</v>
      </c>
      <c r="F1" t="s">
        <v>109</v>
      </c>
      <c r="G1" t="s">
        <v>109</v>
      </c>
      <c r="H1" t="s">
        <v>109</v>
      </c>
      <c r="I1" t="s">
        <v>109</v>
      </c>
      <c r="J1" t="s">
        <v>109</v>
      </c>
      <c r="K1" t="s">
        <v>109</v>
      </c>
      <c r="L1" t="s">
        <v>109</v>
      </c>
      <c r="M1" t="s">
        <v>109</v>
      </c>
      <c r="N1" t="s">
        <v>109</v>
      </c>
      <c r="O1" t="s">
        <v>109</v>
      </c>
      <c r="P1" t="s">
        <v>109</v>
      </c>
      <c r="Q1" t="s">
        <v>109</v>
      </c>
      <c r="R1" t="s">
        <v>109</v>
      </c>
      <c r="S1" t="s">
        <v>109</v>
      </c>
      <c r="T1" t="s">
        <v>109</v>
      </c>
      <c r="U1" t="s">
        <v>109</v>
      </c>
      <c r="V1" t="s">
        <v>109</v>
      </c>
      <c r="W1" t="s">
        <v>109</v>
      </c>
      <c r="X1" t="s">
        <v>109</v>
      </c>
      <c r="Y1" t="s">
        <v>109</v>
      </c>
      <c r="Z1" t="s">
        <v>109</v>
      </c>
      <c r="AA1" t="s">
        <v>109</v>
      </c>
      <c r="AB1" t="s">
        <v>109</v>
      </c>
      <c r="AC1" t="s">
        <v>109</v>
      </c>
      <c r="AD1" t="s">
        <v>109</v>
      </c>
      <c r="AE1" t="s">
        <v>109</v>
      </c>
      <c r="AF1" t="s">
        <v>109</v>
      </c>
      <c r="AG1" t="s">
        <v>109</v>
      </c>
      <c r="AH1" t="s">
        <v>109</v>
      </c>
      <c r="AI1" t="s">
        <v>109</v>
      </c>
      <c r="AJ1" t="s">
        <v>109</v>
      </c>
      <c r="AK1" t="s">
        <v>109</v>
      </c>
      <c r="AL1" t="s">
        <v>109</v>
      </c>
      <c r="AM1" t="s">
        <v>109</v>
      </c>
      <c r="AN1" t="s">
        <v>109</v>
      </c>
      <c r="AO1" t="s">
        <v>109</v>
      </c>
      <c r="AP1" t="s">
        <v>109</v>
      </c>
      <c r="AQ1" t="s">
        <v>109</v>
      </c>
      <c r="AR1" t="s">
        <v>109</v>
      </c>
      <c r="AS1" t="s">
        <v>109</v>
      </c>
      <c r="AT1" t="s">
        <v>109</v>
      </c>
      <c r="AU1" t="s">
        <v>109</v>
      </c>
      <c r="AV1" t="s">
        <v>109</v>
      </c>
      <c r="AW1" t="s">
        <v>109</v>
      </c>
      <c r="AX1" t="s">
        <v>109</v>
      </c>
      <c r="AY1" t="s">
        <v>109</v>
      </c>
      <c r="AZ1" t="s">
        <v>109</v>
      </c>
      <c r="BA1" t="s">
        <v>109</v>
      </c>
      <c r="BB1" t="s">
        <v>109</v>
      </c>
      <c r="BC1" t="s">
        <v>109</v>
      </c>
      <c r="BF1" t="s">
        <v>108</v>
      </c>
      <c r="BG1" t="s">
        <v>110</v>
      </c>
      <c r="BH1" t="s">
        <v>110</v>
      </c>
      <c r="BI1" t="s">
        <v>110</v>
      </c>
      <c r="BJ1" t="s">
        <v>110</v>
      </c>
      <c r="BK1" t="s">
        <v>110</v>
      </c>
      <c r="BL1" t="s">
        <v>110</v>
      </c>
      <c r="BM1" t="s">
        <v>110</v>
      </c>
      <c r="BN1" t="s">
        <v>110</v>
      </c>
      <c r="BO1" t="s">
        <v>110</v>
      </c>
      <c r="BP1" t="s">
        <v>110</v>
      </c>
      <c r="BQ1" t="s">
        <v>110</v>
      </c>
      <c r="BR1" t="s">
        <v>110</v>
      </c>
      <c r="BS1" t="s">
        <v>110</v>
      </c>
      <c r="BT1" t="s">
        <v>110</v>
      </c>
      <c r="BU1" t="s">
        <v>110</v>
      </c>
      <c r="BV1" t="s">
        <v>110</v>
      </c>
      <c r="BW1" t="s">
        <v>110</v>
      </c>
      <c r="BX1" t="s">
        <v>110</v>
      </c>
      <c r="BY1" t="s">
        <v>110</v>
      </c>
      <c r="BZ1" t="s">
        <v>110</v>
      </c>
      <c r="CA1" t="s">
        <v>110</v>
      </c>
      <c r="CB1" t="s">
        <v>110</v>
      </c>
      <c r="CC1" t="s">
        <v>110</v>
      </c>
      <c r="CD1" t="s">
        <v>110</v>
      </c>
      <c r="CE1" t="s">
        <v>110</v>
      </c>
      <c r="CF1" t="s">
        <v>110</v>
      </c>
      <c r="CG1" t="s">
        <v>110</v>
      </c>
      <c r="CH1" t="s">
        <v>110</v>
      </c>
      <c r="CI1" t="s">
        <v>110</v>
      </c>
      <c r="CJ1" t="s">
        <v>110</v>
      </c>
      <c r="CK1" t="s">
        <v>110</v>
      </c>
      <c r="CL1" t="s">
        <v>110</v>
      </c>
      <c r="CM1" t="s">
        <v>110</v>
      </c>
      <c r="CN1" t="s">
        <v>110</v>
      </c>
      <c r="CO1" t="s">
        <v>110</v>
      </c>
      <c r="CP1" t="s">
        <v>110</v>
      </c>
      <c r="CQ1" t="s">
        <v>110</v>
      </c>
      <c r="CR1" t="s">
        <v>110</v>
      </c>
      <c r="CS1" t="s">
        <v>110</v>
      </c>
      <c r="CT1" t="s">
        <v>110</v>
      </c>
      <c r="CU1" t="s">
        <v>110</v>
      </c>
      <c r="CV1" t="s">
        <v>110</v>
      </c>
      <c r="CW1" t="s">
        <v>110</v>
      </c>
      <c r="CX1" t="s">
        <v>110</v>
      </c>
      <c r="CY1" t="s">
        <v>110</v>
      </c>
      <c r="CZ1" t="s">
        <v>110</v>
      </c>
      <c r="DA1" t="s">
        <v>110</v>
      </c>
      <c r="DB1" t="s">
        <v>110</v>
      </c>
      <c r="DC1" t="s">
        <v>110</v>
      </c>
      <c r="DD1" t="s">
        <v>110</v>
      </c>
      <c r="DE1" t="s">
        <v>110</v>
      </c>
      <c r="DF1" t="s">
        <v>110</v>
      </c>
      <c r="DG1" t="s">
        <v>110</v>
      </c>
      <c r="DH1" t="s">
        <v>110</v>
      </c>
      <c r="DI1" t="s">
        <v>110</v>
      </c>
      <c r="DJ1" t="s">
        <v>110</v>
      </c>
      <c r="DK1" t="s">
        <v>110</v>
      </c>
      <c r="DL1" t="s">
        <v>110</v>
      </c>
      <c r="DM1" t="s">
        <v>110</v>
      </c>
    </row>
    <row r="2" spans="1:125">
      <c r="R2">
        <v>2020</v>
      </c>
      <c r="S2" t="s">
        <v>104</v>
      </c>
      <c r="T2">
        <v>2026</v>
      </c>
      <c r="X2">
        <v>2020</v>
      </c>
      <c r="Y2" t="s">
        <v>104</v>
      </c>
      <c r="Z2">
        <v>2026</v>
      </c>
      <c r="AD2">
        <v>2020</v>
      </c>
      <c r="AE2" t="s">
        <v>104</v>
      </c>
      <c r="AF2">
        <v>2026</v>
      </c>
      <c r="AK2">
        <v>2020</v>
      </c>
      <c r="AL2" t="s">
        <v>104</v>
      </c>
      <c r="AM2">
        <v>2026</v>
      </c>
      <c r="AR2">
        <v>2020</v>
      </c>
      <c r="AS2" t="s">
        <v>104</v>
      </c>
      <c r="AT2">
        <v>2026</v>
      </c>
      <c r="AY2">
        <v>2020</v>
      </c>
      <c r="AZ2" t="s">
        <v>104</v>
      </c>
      <c r="BA2">
        <v>2026</v>
      </c>
      <c r="BU2" t="s">
        <v>35</v>
      </c>
      <c r="BV2">
        <v>2022</v>
      </c>
      <c r="BW2" t="s">
        <v>104</v>
      </c>
      <c r="BX2">
        <v>2026</v>
      </c>
      <c r="CD2">
        <v>2022</v>
      </c>
      <c r="CE2" t="s">
        <v>104</v>
      </c>
      <c r="CF2">
        <v>2026</v>
      </c>
      <c r="CJ2">
        <v>2022</v>
      </c>
      <c r="CK2" t="s">
        <v>104</v>
      </c>
      <c r="CL2">
        <v>2026</v>
      </c>
      <c r="CP2">
        <v>2022</v>
      </c>
      <c r="CQ2" t="s">
        <v>104</v>
      </c>
      <c r="CR2">
        <v>2026</v>
      </c>
    </row>
    <row r="3" spans="1:125">
      <c r="R3" s="30" t="s">
        <v>103</v>
      </c>
      <c r="S3" s="30"/>
      <c r="T3" s="30"/>
      <c r="X3" s="30" t="s">
        <v>106</v>
      </c>
      <c r="Y3" s="30"/>
      <c r="AD3" s="30" t="s">
        <v>107</v>
      </c>
      <c r="AE3" s="30"/>
      <c r="AF3" s="30"/>
      <c r="AK3" s="30" t="s">
        <v>227</v>
      </c>
      <c r="AR3" s="30" t="s">
        <v>228</v>
      </c>
      <c r="AY3" s="30" t="s">
        <v>105</v>
      </c>
    </row>
    <row r="4" spans="1:125">
      <c r="A4" t="s">
        <v>111</v>
      </c>
      <c r="R4" t="s">
        <v>33</v>
      </c>
      <c r="X4" t="s">
        <v>33</v>
      </c>
      <c r="AD4" t="s">
        <v>33</v>
      </c>
    </row>
    <row r="5" spans="1:125">
      <c r="R5" s="30"/>
      <c r="S5" s="30"/>
      <c r="T5" s="30"/>
      <c r="U5" s="30"/>
      <c r="V5" s="30"/>
      <c r="X5" s="30"/>
      <c r="Y5" s="30"/>
      <c r="Z5" s="30"/>
      <c r="AA5" s="30"/>
      <c r="AB5" s="30"/>
      <c r="AD5" s="30"/>
      <c r="AE5" s="30"/>
      <c r="AF5" s="30"/>
      <c r="AG5" s="30"/>
      <c r="AH5" s="30"/>
      <c r="AN5" t="s">
        <v>34</v>
      </c>
      <c r="AU5" t="s">
        <v>34</v>
      </c>
      <c r="BB5" t="s">
        <v>34</v>
      </c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V5" t="s">
        <v>31</v>
      </c>
      <c r="BW5" t="s">
        <v>118</v>
      </c>
      <c r="CD5" t="s">
        <v>113</v>
      </c>
      <c r="CJ5" t="s">
        <v>114</v>
      </c>
      <c r="CP5" t="s">
        <v>30</v>
      </c>
      <c r="CX5" t="s">
        <v>37</v>
      </c>
      <c r="CY5" t="s">
        <v>37</v>
      </c>
      <c r="CZ5" t="s">
        <v>37</v>
      </c>
      <c r="DJ5" t="s">
        <v>233</v>
      </c>
    </row>
    <row r="6" spans="1:125">
      <c r="R6" s="30" t="s">
        <v>6</v>
      </c>
      <c r="S6" s="30">
        <v>2020</v>
      </c>
      <c r="T6" s="30">
        <v>2026</v>
      </c>
      <c r="U6" s="30">
        <f>+S6</f>
        <v>2020</v>
      </c>
      <c r="V6" s="30">
        <f>+T6</f>
        <v>2026</v>
      </c>
      <c r="X6" s="30" t="s">
        <v>6</v>
      </c>
      <c r="Y6" s="30">
        <v>2020</v>
      </c>
      <c r="Z6" s="30">
        <v>2026</v>
      </c>
      <c r="AA6" s="30">
        <f>+Y6</f>
        <v>2020</v>
      </c>
      <c r="AB6" s="30">
        <f>+Z6</f>
        <v>2026</v>
      </c>
      <c r="AD6" s="30" t="s">
        <v>6</v>
      </c>
      <c r="AE6" s="30">
        <v>2020</v>
      </c>
      <c r="AF6" s="30">
        <v>2026</v>
      </c>
      <c r="AG6" s="30">
        <f>+AE6</f>
        <v>2020</v>
      </c>
      <c r="AH6" s="30">
        <f>+AF6</f>
        <v>2026</v>
      </c>
      <c r="AK6" s="30" t="s">
        <v>6</v>
      </c>
      <c r="AL6" s="30">
        <v>2020</v>
      </c>
      <c r="AM6" s="30">
        <v>2026</v>
      </c>
      <c r="AN6" s="30">
        <f>+AL6</f>
        <v>2020</v>
      </c>
      <c r="AO6" s="30">
        <f>+AM6</f>
        <v>2026</v>
      </c>
      <c r="AP6" s="30"/>
      <c r="AR6" s="30" t="s">
        <v>6</v>
      </c>
      <c r="AS6" s="30">
        <v>2020</v>
      </c>
      <c r="AT6" s="30">
        <v>2026</v>
      </c>
      <c r="AU6" s="30">
        <f>+AS6</f>
        <v>2020</v>
      </c>
      <c r="AV6" s="30">
        <f>+AT6</f>
        <v>2026</v>
      </c>
      <c r="AY6" s="30" t="s">
        <v>6</v>
      </c>
      <c r="AZ6" s="30">
        <v>2020</v>
      </c>
      <c r="BA6" s="30">
        <v>2026</v>
      </c>
      <c r="BB6" s="30">
        <f>+AZ6</f>
        <v>2020</v>
      </c>
      <c r="BC6" s="30">
        <f>+BA6</f>
        <v>2026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30" t="s">
        <v>121</v>
      </c>
      <c r="BW6" s="30" t="s">
        <v>120</v>
      </c>
      <c r="BX6" s="30" t="s">
        <v>119</v>
      </c>
      <c r="BY6" s="30" t="s">
        <v>121</v>
      </c>
      <c r="BZ6" s="30" t="s">
        <v>120</v>
      </c>
      <c r="CA6" s="30" t="s">
        <v>119</v>
      </c>
      <c r="CB6" s="30"/>
      <c r="CD6" s="30">
        <v>2022</v>
      </c>
      <c r="CE6" s="30">
        <v>2026</v>
      </c>
      <c r="CF6" s="30">
        <f>+CD6</f>
        <v>2022</v>
      </c>
      <c r="CG6" s="30">
        <f>+CE6</f>
        <v>2026</v>
      </c>
      <c r="CJ6" s="30">
        <v>2022</v>
      </c>
      <c r="CK6" s="30">
        <v>2026</v>
      </c>
      <c r="CL6" s="30">
        <f>+CJ6</f>
        <v>2022</v>
      </c>
      <c r="CM6" s="30">
        <f>+CK6</f>
        <v>2026</v>
      </c>
      <c r="CP6" s="30">
        <v>2022</v>
      </c>
      <c r="CQ6" s="30">
        <v>2026</v>
      </c>
      <c r="CR6" s="30">
        <v>2022</v>
      </c>
      <c r="CS6" s="30">
        <v>2026</v>
      </c>
      <c r="CT6" s="30"/>
      <c r="CU6" s="30"/>
      <c r="CV6" s="30" t="s">
        <v>39</v>
      </c>
      <c r="CW6" s="30" t="s">
        <v>40</v>
      </c>
      <c r="CX6" s="30" t="s">
        <v>261</v>
      </c>
      <c r="CY6" s="30" t="s">
        <v>262</v>
      </c>
      <c r="CZ6" s="30" t="s">
        <v>263</v>
      </c>
      <c r="DA6" s="30" t="str">
        <f>+CV6</f>
        <v>JPNLL1_2022</v>
      </c>
      <c r="DB6" s="30" t="str">
        <f>+CW6</f>
        <v>JPNLL2_2022</v>
      </c>
      <c r="DC6" s="30" t="str">
        <f>+CX6</f>
        <v>JPNLL1_2026</v>
      </c>
      <c r="DD6" s="30" t="str">
        <f>+CY6</f>
        <v>JPNLL2_2026</v>
      </c>
      <c r="DE6" s="30" t="str">
        <f>+CZ6</f>
        <v>JPNLL3_2026</v>
      </c>
      <c r="DF6" s="30"/>
      <c r="DG6" s="30"/>
      <c r="DH6" s="30" t="s">
        <v>231</v>
      </c>
      <c r="DI6" s="30" t="s">
        <v>232</v>
      </c>
      <c r="DJ6" s="30">
        <v>2026</v>
      </c>
      <c r="DK6" s="30" t="str">
        <f>+DH6</f>
        <v>CTPLL1_2022</v>
      </c>
      <c r="DL6" s="30" t="str">
        <f>+DI6</f>
        <v>CTPLL2_2022</v>
      </c>
      <c r="DM6" s="30">
        <f>+DJ6</f>
        <v>2026</v>
      </c>
      <c r="DR6" t="s">
        <v>285</v>
      </c>
      <c r="DS6" t="s">
        <v>286</v>
      </c>
      <c r="DT6" t="s">
        <v>285</v>
      </c>
      <c r="DU6" t="s">
        <v>286</v>
      </c>
    </row>
    <row r="7" spans="1:125">
      <c r="R7">
        <v>1987</v>
      </c>
      <c r="S7">
        <v>214.7</v>
      </c>
      <c r="T7">
        <v>181.7</v>
      </c>
      <c r="U7">
        <f>+S7/S$46</f>
        <v>1.3580012650221378</v>
      </c>
      <c r="V7">
        <f>+T7/T$46</f>
        <v>1.0400538057554984</v>
      </c>
      <c r="X7">
        <v>1987</v>
      </c>
      <c r="AD7">
        <v>1987</v>
      </c>
      <c r="AK7">
        <v>2010</v>
      </c>
      <c r="AL7">
        <v>332.03</v>
      </c>
      <c r="AM7">
        <v>336.73</v>
      </c>
      <c r="AN7">
        <f>+AL7/AL$23</f>
        <v>1.8555957799566569</v>
      </c>
      <c r="AO7">
        <f t="shared" ref="AO7:AO20" si="0">+AM7/AM$23</f>
        <v>1.66996555999449</v>
      </c>
      <c r="AR7">
        <v>2010</v>
      </c>
      <c r="AS7">
        <v>7.95</v>
      </c>
      <c r="AT7">
        <v>8.9499999999999993</v>
      </c>
      <c r="AU7">
        <f>+AS7/AS$23</f>
        <v>1.3818076477404402</v>
      </c>
      <c r="AV7">
        <f t="shared" ref="AV7:AV20" si="1">+AT7/AT$23</f>
        <v>1.3021338506304558</v>
      </c>
      <c r="AY7">
        <v>2012</v>
      </c>
      <c r="AZ7">
        <v>276.91199999999998</v>
      </c>
      <c r="BA7">
        <v>111.2</v>
      </c>
      <c r="BB7">
        <f t="shared" ref="BB7:BC13" si="2">+AZ7/AZ$23</f>
        <v>1.9259041411652489</v>
      </c>
      <c r="BC7">
        <f t="shared" si="2"/>
        <v>1.2147808743800466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>
        <v>1994</v>
      </c>
      <c r="BV7">
        <v>1.052</v>
      </c>
      <c r="BW7">
        <v>1.0940000000000001</v>
      </c>
      <c r="BX7">
        <v>0.91500000000000004</v>
      </c>
      <c r="BY7">
        <f>+BV7/BV$40</f>
        <v>1.0245644410778054</v>
      </c>
      <c r="BZ7">
        <f t="shared" ref="BZ7:BZ37" si="3">+BW7/BW$40</f>
        <v>1.0229256129657851</v>
      </c>
      <c r="CA7">
        <f t="shared" ref="CA7:CA37" si="4">+BX7/BX$40</f>
        <v>0.81394965735371649</v>
      </c>
      <c r="CC7">
        <v>1989</v>
      </c>
      <c r="CD7">
        <v>522.85699999999997</v>
      </c>
      <c r="CE7" s="1">
        <v>583.15300000000002</v>
      </c>
      <c r="CF7">
        <f t="shared" ref="CF7:CF37" si="5">+CD7/CD$45</f>
        <v>1.3518738244080084</v>
      </c>
      <c r="CG7">
        <f t="shared" ref="CG7:CG37" si="6">+CE7/CE$45</f>
        <v>1.2831330269707353</v>
      </c>
      <c r="CI7">
        <v>1989</v>
      </c>
      <c r="CJ7">
        <v>9.4588599999999996</v>
      </c>
      <c r="CK7" s="1">
        <v>9.6327999999999996</v>
      </c>
      <c r="CL7">
        <f t="shared" ref="CL7:CL37" si="7">+CJ7/CJ$45</f>
        <v>1.2426306482125824</v>
      </c>
      <c r="CM7">
        <f t="shared" ref="CM7:CM37" si="8">+CK7/CK$45</f>
        <v>1.1340310561199862</v>
      </c>
      <c r="CO7">
        <v>2004</v>
      </c>
      <c r="CP7">
        <v>541.83997350000004</v>
      </c>
      <c r="CQ7">
        <v>1.25</v>
      </c>
      <c r="CR7">
        <f t="shared" ref="CR7:CR18" si="9">+CP7/CP$30</f>
        <v>1.5294435489795823</v>
      </c>
      <c r="CS7">
        <f t="shared" ref="CS7:CS18" si="10">+CQ7/CQ$30</f>
        <v>1.1727373068432672</v>
      </c>
      <c r="CU7" s="30">
        <v>1962</v>
      </c>
      <c r="CV7" s="30"/>
      <c r="CW7" s="30"/>
      <c r="CX7">
        <v>2.5</v>
      </c>
      <c r="DA7" s="30"/>
      <c r="DB7" s="30"/>
      <c r="DC7">
        <f t="shared" ref="DC7:DE49" si="11">+CX7/CX$71</f>
        <v>2.5035765379113015</v>
      </c>
      <c r="DF7" s="30"/>
      <c r="DG7" s="30">
        <v>1962</v>
      </c>
      <c r="DH7" s="30"/>
      <c r="DI7" s="30"/>
      <c r="DK7" s="30"/>
      <c r="DL7" s="30"/>
      <c r="DQ7">
        <v>1994</v>
      </c>
      <c r="DR7">
        <v>9.6784010011671597</v>
      </c>
      <c r="DS7">
        <v>9.3203949999999995</v>
      </c>
      <c r="DT7">
        <f>+DR7/AVERAGE(DR$7:DR$37)</f>
        <v>1.4913266084253811</v>
      </c>
      <c r="DU7">
        <f>+DS7/AVERAGE(DS$7:DS$37)</f>
        <v>1.4377266023357886</v>
      </c>
    </row>
    <row r="8" spans="1:125">
      <c r="R8">
        <v>1988</v>
      </c>
      <c r="S8">
        <v>238.2</v>
      </c>
      <c r="T8">
        <v>213.31</v>
      </c>
      <c r="U8">
        <f t="shared" ref="U8:U38" si="12">+S8/S$46</f>
        <v>1.5066413662239089</v>
      </c>
      <c r="V8">
        <f t="shared" ref="V8:V44" si="13">+T8/T$46</f>
        <v>1.2209899686610093</v>
      </c>
      <c r="X8">
        <v>1988</v>
      </c>
      <c r="Y8">
        <v>3.3970693451067597</v>
      </c>
      <c r="Z8">
        <v>11.7582</v>
      </c>
      <c r="AA8">
        <f t="shared" ref="AA8" si="14">+Y8/Y$46</f>
        <v>1.1922943351290396</v>
      </c>
      <c r="AB8">
        <f t="shared" ref="AB8:AB44" si="15">+Z8/Z$46</f>
        <v>1.6763384223836664</v>
      </c>
      <c r="AD8">
        <v>1988</v>
      </c>
      <c r="AE8">
        <v>127.75919998888769</v>
      </c>
      <c r="AF8">
        <v>128.57499999999999</v>
      </c>
      <c r="AG8">
        <f t="shared" ref="AG8:AG38" si="16">+AE8/AE$46</f>
        <v>1.2582017109098749</v>
      </c>
      <c r="AH8">
        <f t="shared" ref="AH8:AH38" si="17">+AF8/AF$46</f>
        <v>1.272839872587797</v>
      </c>
      <c r="AK8">
        <f>1+AK7</f>
        <v>2011</v>
      </c>
      <c r="AL8">
        <v>239</v>
      </c>
      <c r="AM8">
        <v>246.91</v>
      </c>
      <c r="AN8">
        <f t="shared" ref="AN8:AN15" si="18">+AL8/AL$23</f>
        <v>1.3356847014114419</v>
      </c>
      <c r="AO8">
        <f t="shared" si="0"/>
        <v>1.2245157735225238</v>
      </c>
      <c r="AR8">
        <f>1+AR7</f>
        <v>2011</v>
      </c>
      <c r="AS8">
        <v>7.17</v>
      </c>
      <c r="AT8">
        <v>7.69</v>
      </c>
      <c r="AU8">
        <f t="shared" ref="AU8:AU15" si="19">+AS8/AS$23</f>
        <v>1.2462340672074159</v>
      </c>
      <c r="AV8">
        <f t="shared" si="1"/>
        <v>1.1188166828322019</v>
      </c>
      <c r="AY8">
        <f>1+AY7</f>
        <v>2013</v>
      </c>
      <c r="AZ8">
        <v>164.00299999999996</v>
      </c>
      <c r="BA8">
        <v>155.75700000000001</v>
      </c>
      <c r="BB8">
        <f t="shared" si="2"/>
        <v>1.1406297194181698</v>
      </c>
      <c r="BC8">
        <f t="shared" si="2"/>
        <v>1.7015343943418428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>
        <v>1995</v>
      </c>
      <c r="BV8">
        <v>1.4359999999999999</v>
      </c>
      <c r="BW8">
        <v>1.425</v>
      </c>
      <c r="BX8">
        <v>1.262</v>
      </c>
      <c r="BY8">
        <f t="shared" ref="BY8:BY33" si="20">+BV8/BV$40</f>
        <v>1.3985499404826316</v>
      </c>
      <c r="BZ8">
        <f t="shared" si="3"/>
        <v>1.3324213880038789</v>
      </c>
      <c r="CA8">
        <f t="shared" si="4"/>
        <v>1.1226278334211914</v>
      </c>
      <c r="CC8">
        <v>1990</v>
      </c>
      <c r="CD8">
        <v>396.32400000000001</v>
      </c>
      <c r="CE8" s="1">
        <v>439.13200000000001</v>
      </c>
      <c r="CF8">
        <f t="shared" si="5"/>
        <v>1.0247162065051814</v>
      </c>
      <c r="CG8">
        <f t="shared" si="6"/>
        <v>0.96623831550161432</v>
      </c>
      <c r="CI8">
        <v>1990</v>
      </c>
      <c r="CJ8">
        <v>6.94712</v>
      </c>
      <c r="CK8" s="1">
        <v>7.2861000000000002</v>
      </c>
      <c r="CL8">
        <f t="shared" si="7"/>
        <v>0.91265799777252177</v>
      </c>
      <c r="CM8">
        <f t="shared" si="8"/>
        <v>0.85776344136656335</v>
      </c>
      <c r="CO8">
        <v>2005</v>
      </c>
      <c r="CP8">
        <v>465.70947790000002</v>
      </c>
      <c r="CQ8">
        <v>1.95</v>
      </c>
      <c r="CR8">
        <f t="shared" si="9"/>
        <v>1.3145511433419637</v>
      </c>
      <c r="CS8">
        <f t="shared" si="10"/>
        <v>1.8294701986754967</v>
      </c>
      <c r="CU8" s="30">
        <f>+CU7+1</f>
        <v>1963</v>
      </c>
      <c r="CV8" s="30"/>
      <c r="CW8" s="30"/>
      <c r="CX8">
        <v>1.9</v>
      </c>
      <c r="DA8" s="30"/>
      <c r="DB8" s="30"/>
      <c r="DC8">
        <f t="shared" si="11"/>
        <v>1.9027181688125889</v>
      </c>
      <c r="DF8" s="30"/>
      <c r="DG8" s="30">
        <f>+DG7+1</f>
        <v>1963</v>
      </c>
      <c r="DH8" s="30"/>
      <c r="DI8" s="30"/>
      <c r="DK8" s="30"/>
      <c r="DL8" s="30"/>
      <c r="DQ8">
        <v>1995</v>
      </c>
      <c r="DR8">
        <v>8.4363387777439307</v>
      </c>
      <c r="DS8">
        <v>8.2203470000000003</v>
      </c>
      <c r="DT8">
        <f t="shared" ref="DT8:DT37" si="21">+DR8/AVERAGE(DR$7:DR$37)</f>
        <v>1.2999395763229014</v>
      </c>
      <c r="DU8">
        <f t="shared" ref="DU8:DU37" si="22">+DS8/AVERAGE(DS$7:DS$37)</f>
        <v>1.268037627410769</v>
      </c>
    </row>
    <row r="9" spans="1:125">
      <c r="R9">
        <v>1989</v>
      </c>
      <c r="T9">
        <v>247.25</v>
      </c>
      <c r="V9">
        <f t="shared" si="13"/>
        <v>1.4152630901103302</v>
      </c>
      <c r="X9">
        <v>1989</v>
      </c>
      <c r="Y9">
        <v>2.3286833212806002</v>
      </c>
      <c r="Z9">
        <v>4.1086</v>
      </c>
      <c r="AA9">
        <f t="shared" ref="AA9:AA38" si="23">+Y9/Y$46</f>
        <v>0.81731505901451662</v>
      </c>
      <c r="AB9">
        <f t="shared" si="15"/>
        <v>0.58575326514309423</v>
      </c>
      <c r="AD9">
        <v>1989</v>
      </c>
      <c r="AE9">
        <v>115.50112623392364</v>
      </c>
      <c r="AF9">
        <v>115.4062</v>
      </c>
      <c r="AG9">
        <f t="shared" si="16"/>
        <v>1.1374814076182398</v>
      </c>
      <c r="AH9">
        <f t="shared" si="17"/>
        <v>1.1424741427481377</v>
      </c>
      <c r="AK9">
        <f t="shared" ref="AK9:AK21" si="24">1+AK8</f>
        <v>2012</v>
      </c>
      <c r="AL9">
        <v>143.5</v>
      </c>
      <c r="AM9">
        <v>156.27000000000001</v>
      </c>
      <c r="AN9">
        <f t="shared" si="18"/>
        <v>0.80196968473866903</v>
      </c>
      <c r="AO9">
        <f t="shared" si="0"/>
        <v>0.77499931119988996</v>
      </c>
      <c r="AR9">
        <f t="shared" ref="AR9:AR21" si="25">1+AR8</f>
        <v>2012</v>
      </c>
      <c r="AS9">
        <v>5.29</v>
      </c>
      <c r="AT9">
        <v>6.08</v>
      </c>
      <c r="AU9">
        <f t="shared" si="19"/>
        <v>0.91946697566628033</v>
      </c>
      <c r="AV9">
        <f t="shared" si="1"/>
        <v>0.88457807953443268</v>
      </c>
      <c r="AY9">
        <f t="shared" ref="AY9:AY19" si="26">1+AY8</f>
        <v>2014</v>
      </c>
      <c r="AZ9">
        <v>190.499</v>
      </c>
      <c r="BA9">
        <v>77.266000000000005</v>
      </c>
      <c r="BB9">
        <f t="shared" si="2"/>
        <v>1.3249075987600349</v>
      </c>
      <c r="BC9">
        <f t="shared" si="2"/>
        <v>0.84407607050223632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>
        <v>1996</v>
      </c>
      <c r="BV9">
        <v>1.581</v>
      </c>
      <c r="BW9">
        <v>1.726</v>
      </c>
      <c r="BX9">
        <v>1.216</v>
      </c>
      <c r="BY9">
        <f t="shared" si="20"/>
        <v>1.5397684233308082</v>
      </c>
      <c r="BZ9">
        <f t="shared" si="3"/>
        <v>1.6138661864524175</v>
      </c>
      <c r="CA9">
        <f t="shared" si="4"/>
        <v>1.0817079599367423</v>
      </c>
      <c r="CC9">
        <v>1991</v>
      </c>
      <c r="CD9">
        <v>384.84899999999999</v>
      </c>
      <c r="CE9" s="1">
        <v>428.029</v>
      </c>
      <c r="CF9">
        <f t="shared" si="5"/>
        <v>0.9950470003262798</v>
      </c>
      <c r="CG9">
        <f t="shared" si="6"/>
        <v>0.94180797561061469</v>
      </c>
      <c r="CI9">
        <v>1991</v>
      </c>
      <c r="CJ9">
        <v>7.0186200000000003</v>
      </c>
      <c r="CK9" s="1">
        <v>7.4092000000000002</v>
      </c>
      <c r="CL9">
        <f t="shared" si="7"/>
        <v>0.92205110554102665</v>
      </c>
      <c r="CM9">
        <f t="shared" si="8"/>
        <v>0.87225551252016054</v>
      </c>
      <c r="CO9">
        <v>2006</v>
      </c>
      <c r="CP9">
        <v>396.8967356</v>
      </c>
      <c r="CQ9">
        <v>1.49</v>
      </c>
      <c r="CR9">
        <f t="shared" si="9"/>
        <v>1.1203144499535063</v>
      </c>
      <c r="CS9">
        <f t="shared" si="10"/>
        <v>1.3979028697571743</v>
      </c>
      <c r="CU9" s="30">
        <f t="shared" ref="CU9:CU69" si="27">+CU8+1</f>
        <v>1964</v>
      </c>
      <c r="CV9" s="30"/>
      <c r="CW9" s="30"/>
      <c r="CX9">
        <v>1.7</v>
      </c>
      <c r="DA9" s="30"/>
      <c r="DB9" s="30"/>
      <c r="DC9">
        <f t="shared" si="11"/>
        <v>1.7024320457796849</v>
      </c>
      <c r="DF9" s="30"/>
      <c r="DG9" s="30">
        <f t="shared" ref="DG9:DG69" si="28">+DG8+1</f>
        <v>1964</v>
      </c>
      <c r="DH9" s="30"/>
      <c r="DI9" s="30"/>
      <c r="DK9" s="30"/>
      <c r="DL9" s="30"/>
      <c r="DQ9">
        <v>1996</v>
      </c>
      <c r="DR9">
        <v>9.1710564131821002</v>
      </c>
      <c r="DS9">
        <v>8.7621029999999998</v>
      </c>
      <c r="DT9">
        <f t="shared" si="21"/>
        <v>1.4131508350087303</v>
      </c>
      <c r="DU9">
        <f t="shared" si="22"/>
        <v>1.3516067264859721</v>
      </c>
    </row>
    <row r="10" spans="1:125">
      <c r="R10">
        <v>1990</v>
      </c>
      <c r="S10">
        <v>234.5</v>
      </c>
      <c r="T10">
        <v>186.44</v>
      </c>
      <c r="U10">
        <f t="shared" si="12"/>
        <v>1.4832384566729919</v>
      </c>
      <c r="V10">
        <f t="shared" si="13"/>
        <v>1.0671856441665115</v>
      </c>
      <c r="X10">
        <v>1990</v>
      </c>
      <c r="Y10">
        <v>2.4615766703346802</v>
      </c>
      <c r="Z10">
        <v>4.6593</v>
      </c>
      <c r="AA10">
        <f t="shared" si="23"/>
        <v>0.86395761209684885</v>
      </c>
      <c r="AB10">
        <f t="shared" si="15"/>
        <v>0.6642652456508833</v>
      </c>
      <c r="AD10">
        <v>1990</v>
      </c>
      <c r="AE10">
        <v>124.5555738839404</v>
      </c>
      <c r="AF10">
        <v>122.1755</v>
      </c>
      <c r="AG10">
        <f t="shared" si="16"/>
        <v>1.226651671095045</v>
      </c>
      <c r="AH10">
        <f t="shared" si="17"/>
        <v>1.2094874419860036</v>
      </c>
      <c r="AK10">
        <f t="shared" si="24"/>
        <v>2013</v>
      </c>
      <c r="AL10">
        <v>158.52000000000001</v>
      </c>
      <c r="AM10">
        <v>171.67</v>
      </c>
      <c r="AN10">
        <f t="shared" si="18"/>
        <v>0.88591104128762255</v>
      </c>
      <c r="AO10">
        <f t="shared" si="0"/>
        <v>0.85137346741975484</v>
      </c>
      <c r="AR10">
        <f t="shared" si="25"/>
        <v>2013</v>
      </c>
      <c r="AS10">
        <v>5.03</v>
      </c>
      <c r="AT10">
        <v>5.9</v>
      </c>
      <c r="AU10">
        <f t="shared" si="19"/>
        <v>0.87427578215527224</v>
      </c>
      <c r="AV10">
        <f t="shared" si="1"/>
        <v>0.85838991270611065</v>
      </c>
      <c r="AY10">
        <f t="shared" si="26"/>
        <v>2015</v>
      </c>
      <c r="AZ10">
        <v>156.77799999999999</v>
      </c>
      <c r="BA10">
        <v>88.18</v>
      </c>
      <c r="BB10">
        <f t="shared" si="2"/>
        <v>1.0903803354264365</v>
      </c>
      <c r="BC10">
        <f t="shared" si="2"/>
        <v>0.96330375452187511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>
        <v>1997</v>
      </c>
      <c r="BV10">
        <v>1.492</v>
      </c>
      <c r="BW10">
        <v>1.605</v>
      </c>
      <c r="BX10">
        <v>1.1910000000000001</v>
      </c>
      <c r="BY10">
        <f t="shared" si="20"/>
        <v>1.4530894924791689</v>
      </c>
      <c r="BZ10">
        <f t="shared" si="3"/>
        <v>1.500727247541211</v>
      </c>
      <c r="CA10">
        <f t="shared" si="4"/>
        <v>1.0594688982604112</v>
      </c>
      <c r="CC10">
        <v>1992</v>
      </c>
      <c r="CD10">
        <v>349.279</v>
      </c>
      <c r="CE10" s="1">
        <v>386.30799999999999</v>
      </c>
      <c r="CF10">
        <f t="shared" si="5"/>
        <v>0.90307892505102694</v>
      </c>
      <c r="CG10">
        <f t="shared" si="6"/>
        <v>0.85000772247250844</v>
      </c>
      <c r="CI10">
        <v>1992</v>
      </c>
      <c r="CJ10">
        <v>6.3424899999999997</v>
      </c>
      <c r="CK10" s="1">
        <v>6.6773999999999996</v>
      </c>
      <c r="CL10">
        <f t="shared" si="7"/>
        <v>0.83322646280649271</v>
      </c>
      <c r="CM10">
        <f t="shared" si="8"/>
        <v>0.78610362242915821</v>
      </c>
      <c r="CO10">
        <v>2007</v>
      </c>
      <c r="CP10">
        <v>387.23407470000001</v>
      </c>
      <c r="CQ10">
        <v>1.36</v>
      </c>
      <c r="CR10">
        <f t="shared" si="9"/>
        <v>1.093039802267362</v>
      </c>
      <c r="CS10">
        <f t="shared" si="10"/>
        <v>1.2759381898454747</v>
      </c>
      <c r="CU10" s="30">
        <f t="shared" si="27"/>
        <v>1965</v>
      </c>
      <c r="CV10" s="30"/>
      <c r="CW10" s="30"/>
      <c r="CX10">
        <v>1.2</v>
      </c>
      <c r="DA10" s="30"/>
      <c r="DB10" s="30"/>
      <c r="DC10">
        <f t="shared" si="11"/>
        <v>1.2017167381974245</v>
      </c>
      <c r="DF10" s="30"/>
      <c r="DG10" s="30">
        <f t="shared" si="28"/>
        <v>1965</v>
      </c>
      <c r="DH10" s="30"/>
      <c r="DI10" s="30"/>
      <c r="DK10" s="30"/>
      <c r="DL10" s="30"/>
      <c r="DQ10">
        <v>1997</v>
      </c>
      <c r="DR10">
        <v>7.59443790805964</v>
      </c>
      <c r="DS10">
        <v>7.3664690000000004</v>
      </c>
      <c r="DT10">
        <f t="shared" si="21"/>
        <v>1.1702126546480047</v>
      </c>
      <c r="DU10">
        <f t="shared" si="22"/>
        <v>1.136321845434868</v>
      </c>
    </row>
    <row r="11" spans="1:125">
      <c r="R11">
        <v>1991</v>
      </c>
      <c r="S11">
        <v>316.8</v>
      </c>
      <c r="T11">
        <v>228.97</v>
      </c>
      <c r="U11">
        <f t="shared" si="12"/>
        <v>2.0037950664136623</v>
      </c>
      <c r="V11">
        <f t="shared" si="13"/>
        <v>1.3106280677151156</v>
      </c>
      <c r="X11">
        <v>1991</v>
      </c>
      <c r="Y11">
        <v>2.92092634864205</v>
      </c>
      <c r="Z11">
        <v>7.3097000000000003</v>
      </c>
      <c r="AA11">
        <f t="shared" si="23"/>
        <v>1.0251789366123811</v>
      </c>
      <c r="AB11">
        <f t="shared" si="15"/>
        <v>1.0421264280330225</v>
      </c>
      <c r="AD11">
        <v>1991</v>
      </c>
      <c r="AE11">
        <v>85.883964554268502</v>
      </c>
      <c r="AF11">
        <v>86.7179</v>
      </c>
      <c r="AG11">
        <f t="shared" si="16"/>
        <v>0.8458048512459575</v>
      </c>
      <c r="AH11">
        <f t="shared" si="17"/>
        <v>0.85847171524076471</v>
      </c>
      <c r="AK11">
        <f t="shared" si="24"/>
        <v>2014</v>
      </c>
      <c r="AL11">
        <v>224.52</v>
      </c>
      <c r="AM11">
        <v>245.33</v>
      </c>
      <c r="AN11">
        <f t="shared" si="18"/>
        <v>1.2547612098782299</v>
      </c>
      <c r="AO11">
        <f t="shared" si="0"/>
        <v>1.2166799834687976</v>
      </c>
      <c r="AR11">
        <f t="shared" si="25"/>
        <v>2014</v>
      </c>
      <c r="AS11">
        <v>8.009999999999998</v>
      </c>
      <c r="AT11">
        <v>9.6</v>
      </c>
      <c r="AU11">
        <f t="shared" si="19"/>
        <v>1.3922363847045187</v>
      </c>
      <c r="AV11">
        <f t="shared" si="1"/>
        <v>1.396702230843841</v>
      </c>
      <c r="AY11">
        <f t="shared" si="26"/>
        <v>2016</v>
      </c>
      <c r="AZ11">
        <v>58.970999999999997</v>
      </c>
      <c r="BA11">
        <v>87.317999999999998</v>
      </c>
      <c r="BB11">
        <f t="shared" si="2"/>
        <v>0.41013929735315152</v>
      </c>
      <c r="BC11">
        <f t="shared" si="2"/>
        <v>0.95388701788774188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>
        <v>1998</v>
      </c>
      <c r="BV11">
        <v>1.2609999999999999</v>
      </c>
      <c r="BW11">
        <v>1.347</v>
      </c>
      <c r="BX11">
        <v>1.2490000000000001</v>
      </c>
      <c r="BY11">
        <f t="shared" si="20"/>
        <v>1.2281138404934531</v>
      </c>
      <c r="BZ11">
        <f t="shared" si="3"/>
        <v>1.259488848871035</v>
      </c>
      <c r="CA11">
        <f t="shared" si="4"/>
        <v>1.1110635213494993</v>
      </c>
      <c r="CC11">
        <v>1993</v>
      </c>
      <c r="CD11">
        <v>302.02999999999997</v>
      </c>
      <c r="CE11" s="1">
        <v>331.88799999999998</v>
      </c>
      <c r="CF11">
        <f t="shared" si="5"/>
        <v>0.78091419104258097</v>
      </c>
      <c r="CG11">
        <f t="shared" si="6"/>
        <v>0.73026539185301853</v>
      </c>
      <c r="CI11">
        <v>1993</v>
      </c>
      <c r="CJ11">
        <v>5.71652</v>
      </c>
      <c r="CK11" s="1">
        <v>6.0407000000000002</v>
      </c>
      <c r="CL11">
        <f t="shared" si="7"/>
        <v>0.75099144644494065</v>
      </c>
      <c r="CM11">
        <f t="shared" si="8"/>
        <v>0.71114747536583356</v>
      </c>
      <c r="CO11">
        <v>2008</v>
      </c>
      <c r="CP11">
        <v>324.82877780000001</v>
      </c>
      <c r="CQ11">
        <v>0.92</v>
      </c>
      <c r="CR11">
        <f t="shared" si="9"/>
        <v>0.91688930870127494</v>
      </c>
      <c r="CS11">
        <f t="shared" si="10"/>
        <v>0.86313465783664456</v>
      </c>
      <c r="CU11" s="30">
        <f t="shared" si="27"/>
        <v>1966</v>
      </c>
      <c r="CV11" s="30"/>
      <c r="CW11" s="30"/>
      <c r="CX11">
        <v>0.91</v>
      </c>
      <c r="DA11" s="30"/>
      <c r="DB11" s="30"/>
      <c r="DC11">
        <f t="shared" si="11"/>
        <v>0.91130185979971368</v>
      </c>
      <c r="DF11" s="30"/>
      <c r="DG11" s="30">
        <f t="shared" si="28"/>
        <v>1966</v>
      </c>
      <c r="DH11" s="30"/>
      <c r="DI11" s="30"/>
      <c r="DK11" s="30"/>
      <c r="DL11" s="30"/>
      <c r="DQ11">
        <v>1998</v>
      </c>
      <c r="DR11">
        <v>8.7230603392698001</v>
      </c>
      <c r="DS11">
        <v>8.628698</v>
      </c>
      <c r="DT11">
        <f t="shared" si="21"/>
        <v>1.3441199625107889</v>
      </c>
      <c r="DU11">
        <f t="shared" si="22"/>
        <v>1.3310282083668787</v>
      </c>
    </row>
    <row r="12" spans="1:125">
      <c r="R12">
        <v>1992</v>
      </c>
      <c r="S12">
        <v>127.4</v>
      </c>
      <c r="T12">
        <v>100.21</v>
      </c>
      <c r="U12">
        <f t="shared" si="12"/>
        <v>0.80581910183428218</v>
      </c>
      <c r="V12">
        <f t="shared" si="13"/>
        <v>0.57360369771468633</v>
      </c>
      <c r="X12">
        <v>1992</v>
      </c>
      <c r="Y12">
        <v>3.0472062806775804</v>
      </c>
      <c r="Z12">
        <v>8.2661999999999995</v>
      </c>
      <c r="AA12">
        <f t="shared" si="23"/>
        <v>1.069500330234598</v>
      </c>
      <c r="AB12">
        <f t="shared" si="15"/>
        <v>1.1784923429698304</v>
      </c>
      <c r="AD12">
        <v>1992</v>
      </c>
      <c r="AE12">
        <v>74.200489760381814</v>
      </c>
      <c r="AF12">
        <v>74.2483</v>
      </c>
      <c r="AG12">
        <f t="shared" si="16"/>
        <v>0.73074332944307185</v>
      </c>
      <c r="AH12">
        <f t="shared" si="17"/>
        <v>0.7350277792094928</v>
      </c>
      <c r="AK12">
        <f t="shared" si="24"/>
        <v>2015</v>
      </c>
      <c r="AL12">
        <v>160.05000000000001</v>
      </c>
      <c r="AM12">
        <v>158.99</v>
      </c>
      <c r="AN12">
        <f t="shared" si="18"/>
        <v>0.89446165883222295</v>
      </c>
      <c r="AO12">
        <f t="shared" si="0"/>
        <v>0.78848877255820382</v>
      </c>
      <c r="AR12">
        <f t="shared" si="25"/>
        <v>2015</v>
      </c>
      <c r="AS12">
        <v>5.14</v>
      </c>
      <c r="AT12">
        <v>5.36</v>
      </c>
      <c r="AU12">
        <f t="shared" si="19"/>
        <v>0.89339513325608333</v>
      </c>
      <c r="AV12">
        <f t="shared" si="1"/>
        <v>0.77982541222114454</v>
      </c>
      <c r="AY12">
        <f t="shared" si="26"/>
        <v>2017</v>
      </c>
      <c r="AZ12">
        <v>67.876999999999995</v>
      </c>
      <c r="BA12">
        <v>57.423999999999999</v>
      </c>
      <c r="BB12">
        <f t="shared" si="2"/>
        <v>0.47207992210476107</v>
      </c>
      <c r="BC12">
        <f t="shared" si="2"/>
        <v>0.62731633930215636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>
        <v>1999</v>
      </c>
      <c r="BV12">
        <v>1.056</v>
      </c>
      <c r="BW12">
        <v>1.05</v>
      </c>
      <c r="BX12">
        <v>1.032</v>
      </c>
      <c r="BY12">
        <f t="shared" si="20"/>
        <v>1.0284601233632724</v>
      </c>
      <c r="BZ12">
        <f t="shared" si="3"/>
        <v>0.98178418063443718</v>
      </c>
      <c r="CA12">
        <f t="shared" si="4"/>
        <v>0.91802846599894572</v>
      </c>
      <c r="CC12">
        <v>1994</v>
      </c>
      <c r="CD12">
        <v>345.97699999999998</v>
      </c>
      <c r="CE12" s="1">
        <v>383.892</v>
      </c>
      <c r="CF12">
        <f t="shared" si="5"/>
        <v>0.89454143321636614</v>
      </c>
      <c r="CG12">
        <f t="shared" si="6"/>
        <v>0.84469170867653853</v>
      </c>
      <c r="CI12">
        <v>1994</v>
      </c>
      <c r="CJ12">
        <v>6.93133</v>
      </c>
      <c r="CK12" s="1">
        <v>7.3697999999999997</v>
      </c>
      <c r="CL12">
        <f t="shared" si="7"/>
        <v>0.91058363173525336</v>
      </c>
      <c r="CM12">
        <f t="shared" si="8"/>
        <v>0.86761710794297342</v>
      </c>
      <c r="CO12">
        <v>2009</v>
      </c>
      <c r="CP12">
        <v>314.95114280000001</v>
      </c>
      <c r="CQ12">
        <v>0.85</v>
      </c>
      <c r="CR12">
        <f t="shared" si="9"/>
        <v>0.88900785685426587</v>
      </c>
      <c r="CS12">
        <f t="shared" si="10"/>
        <v>0.79746136865342154</v>
      </c>
      <c r="CU12" s="30">
        <f t="shared" si="27"/>
        <v>1967</v>
      </c>
      <c r="CV12" s="30"/>
      <c r="CW12" s="30"/>
      <c r="CX12">
        <v>0.46</v>
      </c>
      <c r="DA12" s="30"/>
      <c r="DB12" s="30"/>
      <c r="DC12">
        <f t="shared" si="11"/>
        <v>0.46065808297567945</v>
      </c>
      <c r="DF12" s="30"/>
      <c r="DG12" s="30">
        <f t="shared" si="28"/>
        <v>1967</v>
      </c>
      <c r="DH12" s="30"/>
      <c r="DI12" s="30"/>
      <c r="DK12" s="30"/>
      <c r="DL12" s="30"/>
      <c r="DQ12">
        <v>1999</v>
      </c>
      <c r="DR12">
        <v>6.1909224785880603</v>
      </c>
      <c r="DS12">
        <v>6.1147470000000004</v>
      </c>
      <c r="DT12">
        <f t="shared" si="21"/>
        <v>0.95394760166516934</v>
      </c>
      <c r="DU12">
        <f t="shared" si="22"/>
        <v>0.94323625001439937</v>
      </c>
    </row>
    <row r="13" spans="1:125">
      <c r="R13">
        <v>1993</v>
      </c>
      <c r="S13">
        <v>211.4</v>
      </c>
      <c r="T13">
        <v>151.63999999999999</v>
      </c>
      <c r="U13">
        <f t="shared" si="12"/>
        <v>1.3371283997469956</v>
      </c>
      <c r="V13">
        <f t="shared" si="13"/>
        <v>0.8679898684907198</v>
      </c>
      <c r="X13">
        <v>1993</v>
      </c>
      <c r="Y13">
        <v>3.043070725233529</v>
      </c>
      <c r="Z13">
        <v>8.2301000000000002</v>
      </c>
      <c r="AA13">
        <f t="shared" si="23"/>
        <v>1.0680488440187934</v>
      </c>
      <c r="AB13">
        <f t="shared" si="15"/>
        <v>1.1733456524008616</v>
      </c>
      <c r="AD13">
        <v>1993</v>
      </c>
      <c r="AE13">
        <v>98.336918471128314</v>
      </c>
      <c r="AF13">
        <v>98.033900000000003</v>
      </c>
      <c r="AG13">
        <f t="shared" si="16"/>
        <v>0.96844437877460232</v>
      </c>
      <c r="AH13">
        <f t="shared" si="17"/>
        <v>0.97049548345545278</v>
      </c>
      <c r="AK13">
        <f t="shared" si="24"/>
        <v>2016</v>
      </c>
      <c r="AL13">
        <v>145.51</v>
      </c>
      <c r="AM13">
        <v>197.82</v>
      </c>
      <c r="AN13">
        <f t="shared" si="18"/>
        <v>0.81320284896392847</v>
      </c>
      <c r="AO13">
        <f t="shared" si="0"/>
        <v>0.98106075216972044</v>
      </c>
      <c r="AR13">
        <f t="shared" si="25"/>
        <v>2016</v>
      </c>
      <c r="AS13">
        <v>5.62</v>
      </c>
      <c r="AT13">
        <v>7.7</v>
      </c>
      <c r="AU13">
        <f t="shared" si="19"/>
        <v>0.9768250289687137</v>
      </c>
      <c r="AV13">
        <f t="shared" si="1"/>
        <v>1.1202715809893309</v>
      </c>
      <c r="AY13">
        <f t="shared" si="26"/>
        <v>2018</v>
      </c>
      <c r="AZ13">
        <v>91.44</v>
      </c>
      <c r="BA13">
        <v>63.628999999999998</v>
      </c>
      <c r="BB13">
        <f t="shared" si="2"/>
        <v>0.63595898577219612</v>
      </c>
      <c r="BC13">
        <f t="shared" si="2"/>
        <v>0.69510154906410049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>
        <v>2000</v>
      </c>
      <c r="BV13">
        <v>0.94799999999999995</v>
      </c>
      <c r="BW13">
        <v>0.96</v>
      </c>
      <c r="BX13">
        <v>1.042</v>
      </c>
      <c r="BY13">
        <f t="shared" si="20"/>
        <v>0.92327670165566489</v>
      </c>
      <c r="BZ13">
        <f t="shared" si="3"/>
        <v>0.897631250865771</v>
      </c>
      <c r="CA13">
        <f t="shared" si="4"/>
        <v>0.92692409066947823</v>
      </c>
      <c r="CC13">
        <v>1995</v>
      </c>
      <c r="CD13">
        <v>395.58800000000002</v>
      </c>
      <c r="CE13" s="1">
        <v>438.51799999999997</v>
      </c>
      <c r="CF13">
        <f t="shared" si="5"/>
        <v>1.022813240426953</v>
      </c>
      <c r="CG13">
        <f t="shared" si="6"/>
        <v>0.96488730868426087</v>
      </c>
      <c r="CI13">
        <v>1995</v>
      </c>
      <c r="CJ13">
        <v>8.1896199999999997</v>
      </c>
      <c r="CK13" s="1">
        <v>8.6716999999999995</v>
      </c>
      <c r="CL13">
        <f t="shared" si="7"/>
        <v>1.07588787752591</v>
      </c>
      <c r="CM13">
        <f t="shared" si="8"/>
        <v>1.0208845931977912</v>
      </c>
      <c r="CO13">
        <v>2010</v>
      </c>
      <c r="CP13">
        <v>355.08457750000002</v>
      </c>
      <c r="CQ13">
        <v>1.27</v>
      </c>
      <c r="CR13">
        <f t="shared" si="9"/>
        <v>1.0022918997494663</v>
      </c>
      <c r="CS13">
        <f t="shared" si="10"/>
        <v>1.1915011037527594</v>
      </c>
      <c r="CU13" s="30">
        <f t="shared" si="27"/>
        <v>1968</v>
      </c>
      <c r="CV13" s="30"/>
      <c r="CW13" s="30"/>
      <c r="CX13">
        <v>0.8</v>
      </c>
      <c r="DA13" s="30"/>
      <c r="DB13" s="30"/>
      <c r="DC13">
        <f t="shared" si="11"/>
        <v>0.80114449213161643</v>
      </c>
      <c r="DF13" s="30"/>
      <c r="DG13" s="30">
        <f t="shared" si="28"/>
        <v>1968</v>
      </c>
      <c r="DH13" s="30">
        <v>9.1082151983423801E-2</v>
      </c>
      <c r="DI13" s="30"/>
      <c r="DK13">
        <f t="shared" ref="DK13:DK20" si="29">+DH13/DH$71</f>
        <v>1.1968738989211658</v>
      </c>
      <c r="DL13" s="30"/>
      <c r="DQ13">
        <v>2000</v>
      </c>
      <c r="DR13">
        <v>7.01197825404157</v>
      </c>
      <c r="DS13">
        <v>6.8952159999999996</v>
      </c>
      <c r="DT13">
        <f t="shared" si="21"/>
        <v>1.0804625419727152</v>
      </c>
      <c r="DU13">
        <f t="shared" si="22"/>
        <v>1.0636282552457668</v>
      </c>
    </row>
    <row r="14" spans="1:125">
      <c r="R14">
        <v>1994</v>
      </c>
      <c r="S14">
        <v>298.39999999999998</v>
      </c>
      <c r="T14">
        <v>175.7</v>
      </c>
      <c r="U14">
        <f t="shared" si="12"/>
        <v>1.8874130297280203</v>
      </c>
      <c r="V14">
        <f t="shared" si="13"/>
        <v>1.0057097065010516</v>
      </c>
      <c r="X14">
        <v>1994</v>
      </c>
      <c r="Y14">
        <v>3.2752518954401997</v>
      </c>
      <c r="Z14">
        <v>10.362</v>
      </c>
      <c r="AA14">
        <f t="shared" si="23"/>
        <v>1.1495391716624717</v>
      </c>
      <c r="AB14">
        <f t="shared" si="15"/>
        <v>1.4772855311816051</v>
      </c>
      <c r="AD14">
        <v>1994</v>
      </c>
      <c r="AE14">
        <v>120.48191079863075</v>
      </c>
      <c r="AF14">
        <v>119.9387</v>
      </c>
      <c r="AG14">
        <f t="shared" si="16"/>
        <v>1.1865333088631838</v>
      </c>
      <c r="AH14">
        <f t="shared" si="17"/>
        <v>1.187344037537204</v>
      </c>
      <c r="AK14">
        <f t="shared" si="24"/>
        <v>2017</v>
      </c>
      <c r="AL14">
        <v>118.75</v>
      </c>
      <c r="AM14">
        <v>179.97</v>
      </c>
      <c r="AN14">
        <f t="shared" si="18"/>
        <v>0.66365087151719127</v>
      </c>
      <c r="AO14">
        <f t="shared" si="0"/>
        <v>0.892536162005786</v>
      </c>
      <c r="AR14">
        <f t="shared" si="25"/>
        <v>2017</v>
      </c>
      <c r="AS14">
        <v>4.1900000000000004</v>
      </c>
      <c r="AT14">
        <v>6.46</v>
      </c>
      <c r="AU14">
        <f t="shared" si="19"/>
        <v>0.72827346465816922</v>
      </c>
      <c r="AV14">
        <f t="shared" si="1"/>
        <v>0.93986420950533467</v>
      </c>
      <c r="AY14">
        <f t="shared" si="26"/>
        <v>2019</v>
      </c>
      <c r="BA14">
        <v>47.145000000000003</v>
      </c>
      <c r="BC14">
        <f t="shared" ref="BC14:BC19" si="30">+BA14/BA$23</f>
        <v>0.51502557844107277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>
        <v>2001</v>
      </c>
      <c r="BV14">
        <v>0.88400000000000001</v>
      </c>
      <c r="BW14">
        <v>0.84899999999999998</v>
      </c>
      <c r="BX14">
        <v>0.93</v>
      </c>
      <c r="BY14">
        <f t="shared" si="20"/>
        <v>0.86094578508819397</v>
      </c>
      <c r="BZ14">
        <f t="shared" si="3"/>
        <v>0.7938426374844163</v>
      </c>
      <c r="CA14">
        <f t="shared" si="4"/>
        <v>0.82729309435951504</v>
      </c>
      <c r="CC14">
        <v>1996</v>
      </c>
      <c r="CD14">
        <v>355.34399999999999</v>
      </c>
      <c r="CE14" s="1">
        <v>389.464</v>
      </c>
      <c r="CF14">
        <f t="shared" si="5"/>
        <v>0.9187602963342546</v>
      </c>
      <c r="CG14">
        <f t="shared" si="6"/>
        <v>0.85695198552717788</v>
      </c>
      <c r="CI14">
        <v>1996</v>
      </c>
      <c r="CJ14">
        <v>7.2182000000000004</v>
      </c>
      <c r="CK14" s="1">
        <v>7.5808999999999997</v>
      </c>
      <c r="CL14">
        <f t="shared" si="7"/>
        <v>0.9482703565681343</v>
      </c>
      <c r="CM14">
        <f t="shared" si="8"/>
        <v>0.89246906749231825</v>
      </c>
      <c r="CO14">
        <v>2011</v>
      </c>
      <c r="CP14">
        <v>239.92990929999999</v>
      </c>
      <c r="CQ14">
        <v>0.61</v>
      </c>
      <c r="CR14">
        <f t="shared" si="9"/>
        <v>0.67724654867336254</v>
      </c>
      <c r="CS14">
        <f t="shared" si="10"/>
        <v>0.57229580573951433</v>
      </c>
      <c r="CU14" s="30">
        <f t="shared" si="27"/>
        <v>1969</v>
      </c>
      <c r="CV14" s="30"/>
      <c r="CW14" s="30"/>
      <c r="CX14">
        <v>0.86</v>
      </c>
      <c r="DA14" s="30"/>
      <c r="DB14" s="30"/>
      <c r="DC14">
        <f t="shared" si="11"/>
        <v>0.86123032904148766</v>
      </c>
      <c r="DF14" s="30"/>
      <c r="DG14" s="30">
        <f t="shared" si="28"/>
        <v>1969</v>
      </c>
      <c r="DH14" s="30">
        <v>6.6517905689007006E-2</v>
      </c>
      <c r="DI14" s="30"/>
      <c r="DK14">
        <f t="shared" si="29"/>
        <v>0.87408502540169686</v>
      </c>
      <c r="DL14" s="30"/>
      <c r="DQ14">
        <v>2001</v>
      </c>
      <c r="DR14">
        <v>6.2507339775408903</v>
      </c>
      <c r="DS14">
        <v>6.1723359999999996</v>
      </c>
      <c r="DT14">
        <f t="shared" si="21"/>
        <v>0.96316384305332903</v>
      </c>
      <c r="DU14">
        <f t="shared" si="22"/>
        <v>0.95211969726120749</v>
      </c>
    </row>
    <row r="15" spans="1:125">
      <c r="R15">
        <v>1995</v>
      </c>
      <c r="S15">
        <v>181.4</v>
      </c>
      <c r="T15">
        <v>119.98</v>
      </c>
      <c r="U15">
        <f t="shared" si="12"/>
        <v>1.1473750790638837</v>
      </c>
      <c r="V15">
        <f t="shared" si="13"/>
        <v>0.68676750475808868</v>
      </c>
      <c r="X15">
        <v>1995</v>
      </c>
      <c r="Y15">
        <v>3.1096493696991501</v>
      </c>
      <c r="Z15">
        <v>8.7539999999999996</v>
      </c>
      <c r="AA15">
        <f t="shared" si="23"/>
        <v>1.0914164390168979</v>
      </c>
      <c r="AB15">
        <f t="shared" si="15"/>
        <v>1.2480368210735158</v>
      </c>
      <c r="AD15">
        <v>1995</v>
      </c>
      <c r="AE15">
        <v>96.198583751737345</v>
      </c>
      <c r="AF15">
        <v>94.240399999999994</v>
      </c>
      <c r="AG15">
        <f t="shared" si="16"/>
        <v>0.94738557124708411</v>
      </c>
      <c r="AH15">
        <f t="shared" si="17"/>
        <v>0.93294138618411837</v>
      </c>
      <c r="AK15">
        <f t="shared" si="24"/>
        <v>2018</v>
      </c>
      <c r="AL15">
        <v>88.53</v>
      </c>
      <c r="AM15">
        <v>121.06</v>
      </c>
      <c r="AN15">
        <f t="shared" si="18"/>
        <v>0.49476220341403743</v>
      </c>
      <c r="AO15">
        <f t="shared" si="0"/>
        <v>0.60038021766083494</v>
      </c>
      <c r="AR15">
        <f t="shared" si="25"/>
        <v>2018</v>
      </c>
      <c r="AS15">
        <v>3.38</v>
      </c>
      <c r="AT15">
        <v>4.12</v>
      </c>
      <c r="AU15">
        <f t="shared" si="19"/>
        <v>0.58748551564310536</v>
      </c>
      <c r="AV15">
        <f t="shared" si="1"/>
        <v>0.59941804073714844</v>
      </c>
      <c r="AY15">
        <f t="shared" si="26"/>
        <v>2020</v>
      </c>
      <c r="BA15">
        <v>53.661999999999999</v>
      </c>
      <c r="BC15">
        <f t="shared" si="30"/>
        <v>0.58621916619588177</v>
      </c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>
        <v>2002</v>
      </c>
      <c r="BV15">
        <v>0.90100000000000002</v>
      </c>
      <c r="BW15">
        <v>0.85199999999999998</v>
      </c>
      <c r="BX15">
        <v>0.80300000000000005</v>
      </c>
      <c r="BY15">
        <f t="shared" si="20"/>
        <v>0.87750243480142842</v>
      </c>
      <c r="BZ15">
        <f t="shared" si="3"/>
        <v>0.79664773514337184</v>
      </c>
      <c r="CA15">
        <f t="shared" si="4"/>
        <v>0.7143186610437533</v>
      </c>
      <c r="CC15">
        <v>1997</v>
      </c>
      <c r="CD15">
        <v>337.80799999999999</v>
      </c>
      <c r="CE15" s="1">
        <v>381.85199999999998</v>
      </c>
      <c r="CF15">
        <f t="shared" si="5"/>
        <v>0.87342006107907233</v>
      </c>
      <c r="CG15">
        <f t="shared" si="6"/>
        <v>0.84020302153093462</v>
      </c>
      <c r="CI15">
        <v>1997</v>
      </c>
      <c r="CJ15">
        <v>6.9964700000000004</v>
      </c>
      <c r="CK15" s="1">
        <v>7.6167999999999996</v>
      </c>
      <c r="CL15">
        <f t="shared" si="7"/>
        <v>0.91914121271483951</v>
      </c>
      <c r="CM15">
        <f t="shared" si="8"/>
        <v>0.89669543105376537</v>
      </c>
      <c r="CO15">
        <v>2012</v>
      </c>
      <c r="CP15">
        <v>250.16323550000001</v>
      </c>
      <c r="CQ15">
        <v>0.54</v>
      </c>
      <c r="CR15">
        <f t="shared" si="9"/>
        <v>0.70613200472433402</v>
      </c>
      <c r="CS15">
        <f t="shared" si="10"/>
        <v>0.50662251655629142</v>
      </c>
      <c r="CU15" s="30">
        <f t="shared" si="27"/>
        <v>1970</v>
      </c>
      <c r="CV15" s="30"/>
      <c r="CW15" s="30"/>
      <c r="CX15">
        <v>0.81</v>
      </c>
      <c r="DA15" s="30"/>
      <c r="DB15" s="30"/>
      <c r="DC15">
        <f t="shared" si="11"/>
        <v>0.81115879828326165</v>
      </c>
      <c r="DF15" s="30"/>
      <c r="DG15" s="30">
        <f t="shared" si="28"/>
        <v>1970</v>
      </c>
      <c r="DH15" s="30">
        <v>6.4032099587439703E-2</v>
      </c>
      <c r="DI15" s="30"/>
      <c r="DK15">
        <f t="shared" si="29"/>
        <v>0.84142004795050152</v>
      </c>
      <c r="DL15" s="30"/>
      <c r="DQ15">
        <v>2002</v>
      </c>
      <c r="DR15">
        <v>4.6569675957958996</v>
      </c>
      <c r="DS15">
        <v>4.6430639999999999</v>
      </c>
      <c r="DT15">
        <f t="shared" si="21"/>
        <v>0.71758337863327482</v>
      </c>
      <c r="DU15">
        <f t="shared" si="22"/>
        <v>0.71622035644922954</v>
      </c>
    </row>
    <row r="16" spans="1:125">
      <c r="R16">
        <v>1996</v>
      </c>
      <c r="T16">
        <v>181.7</v>
      </c>
      <c r="V16">
        <f t="shared" si="13"/>
        <v>1.0400538057554984</v>
      </c>
      <c r="X16">
        <v>1996</v>
      </c>
      <c r="Y16">
        <v>2.7272394587786097</v>
      </c>
      <c r="Z16">
        <v>5.9795999999999996</v>
      </c>
      <c r="AA16">
        <f t="shared" si="23"/>
        <v>0.95719922877816133</v>
      </c>
      <c r="AB16">
        <f t="shared" si="15"/>
        <v>0.85249725557358857</v>
      </c>
      <c r="AD16">
        <v>1996</v>
      </c>
      <c r="AE16">
        <v>82.058604003775969</v>
      </c>
      <c r="AF16">
        <v>80.784000000000006</v>
      </c>
      <c r="AG16">
        <f t="shared" si="16"/>
        <v>0.80813182895170799</v>
      </c>
      <c r="AH16">
        <f t="shared" si="17"/>
        <v>0.79972853406286293</v>
      </c>
      <c r="AK16">
        <f t="shared" si="24"/>
        <v>2019</v>
      </c>
      <c r="AM16">
        <v>176.47</v>
      </c>
      <c r="AO16">
        <f t="shared" si="0"/>
        <v>0.87517839922854401</v>
      </c>
      <c r="AR16">
        <f t="shared" si="25"/>
        <v>2019</v>
      </c>
      <c r="AT16">
        <v>5.74</v>
      </c>
      <c r="AV16">
        <f t="shared" si="1"/>
        <v>0.83511154219204664</v>
      </c>
      <c r="AY16">
        <f t="shared" si="26"/>
        <v>2021</v>
      </c>
      <c r="BA16">
        <v>55.356999999999999</v>
      </c>
      <c r="BC16">
        <f t="shared" si="30"/>
        <v>0.60473583509942663</v>
      </c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>
        <v>2003</v>
      </c>
      <c r="BV16">
        <v>1.042</v>
      </c>
      <c r="BW16">
        <v>1.024</v>
      </c>
      <c r="BX16">
        <v>1.056</v>
      </c>
      <c r="BY16">
        <f t="shared" si="20"/>
        <v>1.014825235364138</v>
      </c>
      <c r="BZ16">
        <f t="shared" si="3"/>
        <v>0.95747333425682246</v>
      </c>
      <c r="CA16">
        <f t="shared" si="4"/>
        <v>0.93937796520822359</v>
      </c>
      <c r="CC16">
        <v>1998</v>
      </c>
      <c r="CD16">
        <v>328.53199999999998</v>
      </c>
      <c r="CE16" s="1">
        <v>371.24700000000001</v>
      </c>
      <c r="CF16">
        <f t="shared" si="5"/>
        <v>0.84943648316922571</v>
      </c>
      <c r="CG16">
        <f t="shared" si="6"/>
        <v>0.81686844938430314</v>
      </c>
      <c r="CI16">
        <v>1998</v>
      </c>
      <c r="CJ16">
        <v>6.9361600000000001</v>
      </c>
      <c r="CK16" s="1">
        <v>7.5117000000000003</v>
      </c>
      <c r="CL16">
        <f t="shared" si="7"/>
        <v>0.91121815915513982</v>
      </c>
      <c r="CM16">
        <f t="shared" si="8"/>
        <v>0.88432242798111671</v>
      </c>
      <c r="CO16">
        <v>2013</v>
      </c>
      <c r="CP16">
        <v>379.34230969999999</v>
      </c>
      <c r="CQ16">
        <v>0.88</v>
      </c>
      <c r="CR16">
        <f t="shared" si="9"/>
        <v>1.0707638358203924</v>
      </c>
      <c r="CS16">
        <f t="shared" si="10"/>
        <v>0.82560706401766004</v>
      </c>
      <c r="CU16" s="30">
        <f t="shared" si="27"/>
        <v>1971</v>
      </c>
      <c r="CV16" s="30"/>
      <c r="CW16" s="30"/>
      <c r="CX16">
        <v>0.54</v>
      </c>
      <c r="DA16" s="30"/>
      <c r="DB16" s="30"/>
      <c r="DC16">
        <f t="shared" si="11"/>
        <v>0.54077253218884114</v>
      </c>
      <c r="DF16" s="30"/>
      <c r="DG16" s="30">
        <f t="shared" si="28"/>
        <v>1971</v>
      </c>
      <c r="DH16" s="30">
        <v>6.8732988443857904E-2</v>
      </c>
      <c r="DI16" s="30"/>
      <c r="DK16">
        <f t="shared" si="29"/>
        <v>0.90319253631902696</v>
      </c>
      <c r="DL16" s="30"/>
      <c r="DQ16">
        <v>2003</v>
      </c>
      <c r="DR16">
        <v>6.2041867678620104</v>
      </c>
      <c r="DS16">
        <v>6.1821510000000002</v>
      </c>
      <c r="DT16">
        <f t="shared" si="21"/>
        <v>0.95599147105368798</v>
      </c>
      <c r="DU16">
        <f t="shared" si="22"/>
        <v>0.95363371963922117</v>
      </c>
    </row>
    <row r="17" spans="18:125">
      <c r="R17">
        <v>1997</v>
      </c>
      <c r="T17">
        <v>256.77999999999997</v>
      </c>
      <c r="V17">
        <f t="shared" si="13"/>
        <v>1.4698129677594765</v>
      </c>
      <c r="X17">
        <v>1997</v>
      </c>
      <c r="Y17">
        <v>2.6837929217660199</v>
      </c>
      <c r="Z17">
        <v>5.742</v>
      </c>
      <c r="AA17">
        <f t="shared" si="23"/>
        <v>0.9419504791358555</v>
      </c>
      <c r="AB17">
        <f t="shared" si="15"/>
        <v>0.81862319243821435</v>
      </c>
      <c r="AD17">
        <v>1997</v>
      </c>
      <c r="AE17">
        <v>83.98780906831422</v>
      </c>
      <c r="AF17">
        <v>82.593900000000005</v>
      </c>
      <c r="AG17">
        <f t="shared" si="16"/>
        <v>0.82713107998888691</v>
      </c>
      <c r="AH17">
        <f t="shared" si="17"/>
        <v>0.81764580324735958</v>
      </c>
      <c r="AK17">
        <f t="shared" si="24"/>
        <v>2020</v>
      </c>
      <c r="AM17">
        <v>209.34</v>
      </c>
      <c r="AO17">
        <f t="shared" si="0"/>
        <v>1.0381925885108143</v>
      </c>
      <c r="AR17">
        <f t="shared" si="25"/>
        <v>2020</v>
      </c>
      <c r="AT17">
        <v>7.13</v>
      </c>
      <c r="AV17">
        <f t="shared" si="1"/>
        <v>1.0373423860329778</v>
      </c>
      <c r="AY17">
        <f t="shared" si="26"/>
        <v>2022</v>
      </c>
      <c r="BA17">
        <v>57.375</v>
      </c>
      <c r="BC17">
        <f t="shared" si="30"/>
        <v>0.62678104916866162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>
        <v>2004</v>
      </c>
      <c r="BV17">
        <v>0.84199999999999997</v>
      </c>
      <c r="BW17">
        <v>0.95299999999999996</v>
      </c>
      <c r="BX17">
        <v>1.0169999999999999</v>
      </c>
      <c r="BY17">
        <f t="shared" si="20"/>
        <v>0.82004112109079097</v>
      </c>
      <c r="BZ17">
        <f t="shared" si="3"/>
        <v>0.89108602299487483</v>
      </c>
      <c r="CA17">
        <f t="shared" si="4"/>
        <v>0.90468502899314707</v>
      </c>
      <c r="CC17">
        <v>1999</v>
      </c>
      <c r="CD17">
        <v>355.54599999999999</v>
      </c>
      <c r="CE17" s="1">
        <v>406.10599999999999</v>
      </c>
      <c r="CF17">
        <f t="shared" si="5"/>
        <v>0.91928257778507272</v>
      </c>
      <c r="CG17">
        <f t="shared" si="6"/>
        <v>0.89356999115322622</v>
      </c>
      <c r="CI17">
        <v>1999</v>
      </c>
      <c r="CJ17">
        <v>7.1970299999999998</v>
      </c>
      <c r="CK17" s="1">
        <v>7.87</v>
      </c>
      <c r="CL17">
        <f t="shared" si="7"/>
        <v>0.94548920843583706</v>
      </c>
      <c r="CM17">
        <f t="shared" si="8"/>
        <v>0.92650365539243951</v>
      </c>
      <c r="CO17">
        <v>2014</v>
      </c>
      <c r="CP17">
        <v>319.5941689</v>
      </c>
      <c r="CQ17">
        <v>0.83</v>
      </c>
      <c r="CR17">
        <f t="shared" si="9"/>
        <v>0.90211365683893385</v>
      </c>
      <c r="CS17">
        <f t="shared" si="10"/>
        <v>0.77869757174392928</v>
      </c>
      <c r="CU17" s="30">
        <f t="shared" si="27"/>
        <v>1972</v>
      </c>
      <c r="CV17" s="30"/>
      <c r="CW17" s="30"/>
      <c r="CX17">
        <v>0.44</v>
      </c>
      <c r="DA17" s="30"/>
      <c r="DB17" s="30"/>
      <c r="DC17">
        <f t="shared" si="11"/>
        <v>0.44062947067238906</v>
      </c>
      <c r="DF17" s="30"/>
      <c r="DG17" s="30">
        <f t="shared" si="28"/>
        <v>1972</v>
      </c>
      <c r="DH17" s="30">
        <v>6.8458442262573097E-2</v>
      </c>
      <c r="DI17" s="30"/>
      <c r="DK17">
        <f t="shared" si="29"/>
        <v>0.89958483545477785</v>
      </c>
      <c r="DL17" s="30"/>
      <c r="DQ17">
        <v>2004</v>
      </c>
      <c r="DR17">
        <v>5.39075265071705</v>
      </c>
      <c r="DS17">
        <v>5.494389</v>
      </c>
      <c r="DT17">
        <f t="shared" si="21"/>
        <v>0.83065093774110921</v>
      </c>
      <c r="DU17">
        <f t="shared" si="22"/>
        <v>0.84754232292527643</v>
      </c>
    </row>
    <row r="18" spans="18:125">
      <c r="R18">
        <v>1998</v>
      </c>
      <c r="S18">
        <v>250.2</v>
      </c>
      <c r="T18">
        <v>239.03</v>
      </c>
      <c r="U18">
        <f t="shared" si="12"/>
        <v>1.5825426944971537</v>
      </c>
      <c r="V18">
        <f t="shared" si="13"/>
        <v>1.3682116741317381</v>
      </c>
      <c r="X18">
        <v>1998</v>
      </c>
      <c r="Y18">
        <v>2.89428795338763</v>
      </c>
      <c r="Z18">
        <v>7.0884</v>
      </c>
      <c r="AA18">
        <f t="shared" si="23"/>
        <v>1.0158294637190703</v>
      </c>
      <c r="AB18">
        <f t="shared" si="15"/>
        <v>1.0105762168720025</v>
      </c>
      <c r="AD18">
        <v>1998</v>
      </c>
      <c r="AE18">
        <v>93.771822841282145</v>
      </c>
      <c r="AF18">
        <v>92.999899999999997</v>
      </c>
      <c r="AG18">
        <f t="shared" si="16"/>
        <v>0.92348627687321894</v>
      </c>
      <c r="AH18">
        <f t="shared" si="17"/>
        <v>0.92066094393682962</v>
      </c>
      <c r="AK18">
        <f t="shared" si="24"/>
        <v>2021</v>
      </c>
      <c r="AM18">
        <v>125.77</v>
      </c>
      <c r="AO18">
        <f t="shared" si="0"/>
        <v>0.62373880699820916</v>
      </c>
      <c r="AR18">
        <f t="shared" si="25"/>
        <v>2021</v>
      </c>
      <c r="AT18">
        <v>4.1900000000000004</v>
      </c>
      <c r="AV18">
        <f t="shared" si="1"/>
        <v>0.60960232783705148</v>
      </c>
      <c r="AY18">
        <f t="shared" si="26"/>
        <v>2023</v>
      </c>
      <c r="BA18">
        <v>55.386000000000003</v>
      </c>
      <c r="BC18">
        <f t="shared" si="30"/>
        <v>0.605052639464148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>
        <v>2005</v>
      </c>
      <c r="BV18">
        <v>0.85799999999999998</v>
      </c>
      <c r="BW18">
        <v>1.0429999999999999</v>
      </c>
      <c r="BX18">
        <v>1.145</v>
      </c>
      <c r="BY18">
        <f t="shared" si="20"/>
        <v>0.83562385023265873</v>
      </c>
      <c r="BZ18">
        <f t="shared" si="3"/>
        <v>0.97523895276354078</v>
      </c>
      <c r="CA18">
        <f t="shared" si="4"/>
        <v>1.0185490247759621</v>
      </c>
      <c r="CC18">
        <v>2000</v>
      </c>
      <c r="CD18">
        <v>429.91800000000001</v>
      </c>
      <c r="CE18" s="1">
        <v>498.16800000000001</v>
      </c>
      <c r="CF18">
        <f t="shared" si="5"/>
        <v>1.1115752315486687</v>
      </c>
      <c r="CG18">
        <f t="shared" si="6"/>
        <v>1.0961374009564508</v>
      </c>
      <c r="CI18">
        <v>2000</v>
      </c>
      <c r="CJ18">
        <v>8.8320100000000004</v>
      </c>
      <c r="CK18" s="1">
        <v>9.7861999999999991</v>
      </c>
      <c r="CL18">
        <f t="shared" si="7"/>
        <v>1.1602800243708027</v>
      </c>
      <c r="CM18">
        <f t="shared" si="8"/>
        <v>1.1520902252098464</v>
      </c>
      <c r="CO18">
        <v>2015</v>
      </c>
      <c r="CP18">
        <v>406.64886530000001</v>
      </c>
      <c r="CQ18">
        <v>1.01</v>
      </c>
      <c r="CR18">
        <f t="shared" si="9"/>
        <v>1.1478416398766342</v>
      </c>
      <c r="CS18">
        <f t="shared" si="10"/>
        <v>0.94757174392935983</v>
      </c>
      <c r="CU18" s="30">
        <f t="shared" si="27"/>
        <v>1973</v>
      </c>
      <c r="CV18" s="30"/>
      <c r="CW18" s="30"/>
      <c r="CX18">
        <v>0.61</v>
      </c>
      <c r="DA18" s="30"/>
      <c r="DB18" s="30"/>
      <c r="DC18">
        <f t="shared" si="11"/>
        <v>0.61087267525035749</v>
      </c>
      <c r="DF18" s="30"/>
      <c r="DG18" s="30">
        <f t="shared" si="28"/>
        <v>1973</v>
      </c>
      <c r="DH18" s="30">
        <v>9.1073869618161093E-2</v>
      </c>
      <c r="DI18" s="30"/>
      <c r="DK18">
        <f t="shared" si="29"/>
        <v>1.1967650636928757</v>
      </c>
      <c r="DL18" s="30"/>
      <c r="DQ18">
        <v>2005</v>
      </c>
      <c r="DR18">
        <v>5.2772170728013696</v>
      </c>
      <c r="DS18">
        <v>5.4619790000000004</v>
      </c>
      <c r="DT18">
        <f t="shared" si="21"/>
        <v>0.81315645406263914</v>
      </c>
      <c r="DU18">
        <f t="shared" si="22"/>
        <v>0.84254288683037892</v>
      </c>
    </row>
    <row r="19" spans="18:125">
      <c r="R19">
        <v>1999</v>
      </c>
      <c r="S19">
        <v>172.69999999999996</v>
      </c>
      <c r="T19">
        <v>208.38</v>
      </c>
      <c r="U19">
        <f t="shared" si="12"/>
        <v>1.0923466160657809</v>
      </c>
      <c r="V19">
        <f t="shared" si="13"/>
        <v>1.1927705671069389</v>
      </c>
      <c r="X19">
        <v>1999</v>
      </c>
      <c r="Y19">
        <v>2.666304042853</v>
      </c>
      <c r="Z19">
        <v>5.6138000000000003</v>
      </c>
      <c r="AA19">
        <f t="shared" si="23"/>
        <v>0.93581227907650522</v>
      </c>
      <c r="AB19">
        <f t="shared" si="15"/>
        <v>0.80034602537611421</v>
      </c>
      <c r="AD19">
        <v>1999</v>
      </c>
      <c r="AE19">
        <v>87.301632776166642</v>
      </c>
      <c r="AF19">
        <v>85.875399999999999</v>
      </c>
      <c r="AG19">
        <f t="shared" si="16"/>
        <v>0.85976637090520658</v>
      </c>
      <c r="AH19">
        <f t="shared" si="17"/>
        <v>0.85013131008692289</v>
      </c>
      <c r="AK19">
        <f t="shared" si="24"/>
        <v>2022</v>
      </c>
      <c r="AM19">
        <v>167.22</v>
      </c>
      <c r="AO19">
        <f t="shared" si="0"/>
        <v>0.82930431188869003</v>
      </c>
      <c r="AR19">
        <f t="shared" si="25"/>
        <v>2022</v>
      </c>
      <c r="AT19">
        <v>5.16</v>
      </c>
      <c r="AV19">
        <f t="shared" si="1"/>
        <v>0.75072744907856459</v>
      </c>
      <c r="AY19">
        <f t="shared" si="26"/>
        <v>2024</v>
      </c>
      <c r="BA19">
        <v>56.500999999999998</v>
      </c>
      <c r="BC19">
        <f t="shared" si="30"/>
        <v>0.6172332210732645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>
        <v>2006</v>
      </c>
      <c r="BV19">
        <v>0.98</v>
      </c>
      <c r="BW19">
        <v>1.177</v>
      </c>
      <c r="BX19">
        <v>1.161</v>
      </c>
      <c r="BY19">
        <f t="shared" si="20"/>
        <v>0.95444215993940051</v>
      </c>
      <c r="BZ19">
        <f t="shared" si="3"/>
        <v>1.1005333148635548</v>
      </c>
      <c r="CA19">
        <f t="shared" si="4"/>
        <v>1.0327820242488139</v>
      </c>
      <c r="CC19">
        <v>2001</v>
      </c>
      <c r="CD19">
        <v>380.51</v>
      </c>
      <c r="CE19" s="1">
        <v>443.94200000000001</v>
      </c>
      <c r="CF19">
        <f t="shared" si="5"/>
        <v>0.98382829134063676</v>
      </c>
      <c r="CG19">
        <f t="shared" si="6"/>
        <v>0.97682193568316056</v>
      </c>
      <c r="CI19">
        <v>2001</v>
      </c>
      <c r="CJ19">
        <v>7.5112500000000004</v>
      </c>
      <c r="CK19" s="1">
        <v>8.4440000000000008</v>
      </c>
      <c r="CL19">
        <f t="shared" si="7"/>
        <v>0.98676896120534185</v>
      </c>
      <c r="CM19">
        <f t="shared" si="8"/>
        <v>0.99407838197379417</v>
      </c>
      <c r="CO19">
        <v>2016</v>
      </c>
      <c r="CP19">
        <v>436.3126881</v>
      </c>
      <c r="CQ19">
        <v>1.1100000000000001</v>
      </c>
      <c r="CR19">
        <f t="shared" ref="CR19:CR23" si="31">+CP19/CP$30</f>
        <v>1.2315732666270063</v>
      </c>
      <c r="CS19">
        <f>+CQ19/CQ$30</f>
        <v>1.0413907284768213</v>
      </c>
      <c r="CU19" s="30">
        <f t="shared" si="27"/>
        <v>1974</v>
      </c>
      <c r="CV19" s="30"/>
      <c r="CW19" s="30"/>
      <c r="CX19">
        <v>0.63</v>
      </c>
      <c r="DA19" s="30"/>
      <c r="DB19" s="30"/>
      <c r="DC19">
        <f t="shared" si="11"/>
        <v>0.63090128755364794</v>
      </c>
      <c r="DF19" s="30"/>
      <c r="DG19" s="30">
        <f t="shared" si="28"/>
        <v>1974</v>
      </c>
      <c r="DH19" s="30">
        <v>7.5164843390160496E-2</v>
      </c>
      <c r="DI19" s="30"/>
      <c r="DK19">
        <f t="shared" si="29"/>
        <v>0.9877109533660634</v>
      </c>
      <c r="DL19" s="30"/>
      <c r="DQ19">
        <v>2006</v>
      </c>
      <c r="DR19">
        <v>7.8315231232147999</v>
      </c>
      <c r="DS19">
        <v>7.6629709999999998</v>
      </c>
      <c r="DT19">
        <f t="shared" si="21"/>
        <v>1.2067446695730433</v>
      </c>
      <c r="DU19">
        <f t="shared" si="22"/>
        <v>1.1820590500325019</v>
      </c>
    </row>
    <row r="20" spans="18:125">
      <c r="R20">
        <v>2000</v>
      </c>
      <c r="S20">
        <v>125.9</v>
      </c>
      <c r="T20">
        <v>171.51</v>
      </c>
      <c r="U20">
        <f t="shared" si="12"/>
        <v>0.79633143580012655</v>
      </c>
      <c r="V20">
        <f t="shared" si="13"/>
        <v>0.98172607718836291</v>
      </c>
      <c r="X20">
        <v>2000</v>
      </c>
      <c r="Y20">
        <v>2.4731283462130897</v>
      </c>
      <c r="Z20">
        <v>4.6590999999999996</v>
      </c>
      <c r="AA20">
        <f t="shared" si="23"/>
        <v>0.86801198847598093</v>
      </c>
      <c r="AB20">
        <f t="shared" si="15"/>
        <v>0.66423673212972556</v>
      </c>
      <c r="AD20">
        <v>2000</v>
      </c>
      <c r="AE20">
        <v>122.75850308617805</v>
      </c>
      <c r="AF20">
        <v>121.4987</v>
      </c>
      <c r="AG20">
        <f t="shared" si="16"/>
        <v>1.2089537084233359</v>
      </c>
      <c r="AH20">
        <f t="shared" si="17"/>
        <v>1.2027873990090063</v>
      </c>
      <c r="AK20">
        <f t="shared" si="24"/>
        <v>2023</v>
      </c>
      <c r="AM20">
        <v>182.35</v>
      </c>
      <c r="AO20">
        <f t="shared" si="0"/>
        <v>0.9043394406943106</v>
      </c>
      <c r="AR20">
        <f t="shared" si="25"/>
        <v>2023</v>
      </c>
      <c r="AT20">
        <v>5.79</v>
      </c>
      <c r="AV20">
        <f t="shared" si="1"/>
        <v>0.84238603297769155</v>
      </c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>
        <v>2007</v>
      </c>
      <c r="BV20">
        <v>1.2050000000000001</v>
      </c>
      <c r="BW20">
        <v>1.4319999999999999</v>
      </c>
      <c r="BX20">
        <v>1.304</v>
      </c>
      <c r="BY20">
        <f t="shared" si="20"/>
        <v>1.173574288496916</v>
      </c>
      <c r="BZ20">
        <f t="shared" si="3"/>
        <v>1.3389666158747751</v>
      </c>
      <c r="CA20">
        <f t="shared" si="4"/>
        <v>1.1599894570374276</v>
      </c>
      <c r="CC20">
        <v>2002</v>
      </c>
      <c r="CD20">
        <v>364.596</v>
      </c>
      <c r="CE20" s="1">
        <v>426.30700000000002</v>
      </c>
      <c r="CF20">
        <f t="shared" si="5"/>
        <v>0.94268182100241993</v>
      </c>
      <c r="CG20">
        <f t="shared" si="6"/>
        <v>0.93801899557888446</v>
      </c>
      <c r="CI20">
        <v>2002</v>
      </c>
      <c r="CJ20">
        <v>7.09518</v>
      </c>
      <c r="CK20" s="1">
        <v>7.9873000000000003</v>
      </c>
      <c r="CL20">
        <f t="shared" si="7"/>
        <v>0.93210895632084101</v>
      </c>
      <c r="CM20">
        <f t="shared" si="8"/>
        <v>0.94031291571995335</v>
      </c>
      <c r="CO20">
        <v>2017</v>
      </c>
      <c r="CP20">
        <v>323.26292810000001</v>
      </c>
      <c r="CQ20">
        <v>0.9</v>
      </c>
      <c r="CR20">
        <f t="shared" si="31"/>
        <v>0.91246940828885803</v>
      </c>
      <c r="CS20">
        <f>+CQ20/CQ$30</f>
        <v>0.8443708609271523</v>
      </c>
      <c r="CU20" s="30">
        <f t="shared" si="27"/>
        <v>1975</v>
      </c>
      <c r="CV20" s="30"/>
      <c r="CW20" s="30"/>
      <c r="CX20">
        <v>0.62</v>
      </c>
      <c r="DA20" s="30"/>
      <c r="DB20" s="30"/>
      <c r="DC20">
        <f t="shared" si="11"/>
        <v>0.62088698140200271</v>
      </c>
      <c r="DF20" s="30"/>
      <c r="DG20" s="30">
        <f t="shared" si="28"/>
        <v>1975</v>
      </c>
      <c r="DH20" s="30">
        <v>7.8718721258596303E-2</v>
      </c>
      <c r="DI20" s="30"/>
      <c r="DK20">
        <f t="shared" si="29"/>
        <v>1.0344110320099948</v>
      </c>
      <c r="DL20" s="30"/>
      <c r="DQ20">
        <v>2007</v>
      </c>
      <c r="DR20">
        <v>8.20911336494928</v>
      </c>
      <c r="DS20">
        <v>8.0987469999999995</v>
      </c>
      <c r="DT20">
        <f t="shared" si="21"/>
        <v>1.2649268398005937</v>
      </c>
      <c r="DU20">
        <f t="shared" si="22"/>
        <v>1.2492801010565713</v>
      </c>
    </row>
    <row r="21" spans="18:125">
      <c r="R21">
        <v>2001</v>
      </c>
      <c r="S21">
        <v>130.6</v>
      </c>
      <c r="T21">
        <v>174.74</v>
      </c>
      <c r="U21">
        <f t="shared" si="12"/>
        <v>0.8260594560404807</v>
      </c>
      <c r="V21">
        <f t="shared" si="13"/>
        <v>1.0002146506203402</v>
      </c>
      <c r="X21">
        <v>2001</v>
      </c>
      <c r="Y21">
        <v>2.7516486147887003</v>
      </c>
      <c r="Z21">
        <v>6.0998000000000001</v>
      </c>
      <c r="AA21">
        <f t="shared" si="23"/>
        <v>0.96576628922926244</v>
      </c>
      <c r="AB21">
        <f t="shared" si="15"/>
        <v>0.86963388178937995</v>
      </c>
      <c r="AD21">
        <v>2001</v>
      </c>
      <c r="AE21">
        <v>85.675221813704113</v>
      </c>
      <c r="AF21">
        <v>83.625399999999999</v>
      </c>
      <c r="AG21">
        <f t="shared" si="16"/>
        <v>0.84374910517568635</v>
      </c>
      <c r="AH21">
        <f t="shared" si="17"/>
        <v>0.82785723104105435</v>
      </c>
      <c r="AK21">
        <f t="shared" si="24"/>
        <v>2024</v>
      </c>
      <c r="AR21">
        <f t="shared" si="25"/>
        <v>2024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>
        <v>2008</v>
      </c>
      <c r="BV21">
        <v>1.097</v>
      </c>
      <c r="BW21">
        <v>1.0720000000000001</v>
      </c>
      <c r="BX21">
        <v>1.206</v>
      </c>
      <c r="BY21">
        <f t="shared" si="20"/>
        <v>1.0683908667893085</v>
      </c>
      <c r="BZ21">
        <f t="shared" si="3"/>
        <v>1.002354896800111</v>
      </c>
      <c r="CA21">
        <f t="shared" si="4"/>
        <v>1.0728123352662098</v>
      </c>
      <c r="CC21">
        <v>2003</v>
      </c>
      <c r="CD21">
        <v>320.90800000000002</v>
      </c>
      <c r="CE21" s="1">
        <v>378.93299999999999</v>
      </c>
      <c r="CF21">
        <f t="shared" si="5"/>
        <v>0.8297242367284462</v>
      </c>
      <c r="CG21">
        <f t="shared" si="6"/>
        <v>0.83378023830641623</v>
      </c>
      <c r="CI21">
        <v>2003</v>
      </c>
      <c r="CJ21">
        <v>6.5012100000000004</v>
      </c>
      <c r="CK21" s="1">
        <v>7.3726000000000003</v>
      </c>
      <c r="CL21">
        <f t="shared" si="7"/>
        <v>0.85407784833120726</v>
      </c>
      <c r="CM21">
        <f t="shared" si="8"/>
        <v>0.86794674075556544</v>
      </c>
      <c r="CO21">
        <v>2018</v>
      </c>
      <c r="CP21">
        <v>263.43570019999999</v>
      </c>
      <c r="CQ21">
        <v>0.96</v>
      </c>
      <c r="CR21">
        <f t="shared" si="31"/>
        <v>0.74359599133896159</v>
      </c>
      <c r="CS21">
        <f>+CQ21/CQ$30</f>
        <v>0.90066225165562908</v>
      </c>
      <c r="CU21" s="30">
        <f t="shared" si="27"/>
        <v>1976</v>
      </c>
      <c r="CV21">
        <v>1.1100000000000001</v>
      </c>
      <c r="CY21">
        <v>0.66</v>
      </c>
      <c r="DA21">
        <f t="shared" ref="DA21:DA38" si="32">+CV21/CV$71</f>
        <v>0.87549295774647895</v>
      </c>
      <c r="DD21">
        <f t="shared" si="11"/>
        <v>0.67200000000000004</v>
      </c>
      <c r="DG21" s="30">
        <f t="shared" si="28"/>
        <v>1976</v>
      </c>
      <c r="DH21">
        <v>7.5932971265226495E-2</v>
      </c>
      <c r="DK21">
        <f t="shared" ref="DK21:DK35" si="33">+DH21/DH$71</f>
        <v>0.99780461260313968</v>
      </c>
      <c r="DQ21">
        <v>2008</v>
      </c>
      <c r="DR21">
        <v>8.4154817436985798</v>
      </c>
      <c r="DS21">
        <v>8.2574240000000003</v>
      </c>
      <c r="DT21">
        <f t="shared" si="21"/>
        <v>1.2967257551719782</v>
      </c>
      <c r="DU21">
        <f t="shared" si="22"/>
        <v>1.2737569761330929</v>
      </c>
    </row>
    <row r="22" spans="18:125">
      <c r="R22">
        <v>2002</v>
      </c>
      <c r="S22">
        <v>107.3</v>
      </c>
      <c r="T22">
        <v>143.12</v>
      </c>
      <c r="U22">
        <f t="shared" si="12"/>
        <v>0.67868437697659711</v>
      </c>
      <c r="V22">
        <f t="shared" si="13"/>
        <v>0.8192212475494054</v>
      </c>
      <c r="X22">
        <v>2002</v>
      </c>
      <c r="Y22">
        <v>3.3660224839263999</v>
      </c>
      <c r="Z22">
        <v>11.2956</v>
      </c>
      <c r="AA22">
        <f t="shared" si="23"/>
        <v>1.181397590627135</v>
      </c>
      <c r="AB22">
        <f t="shared" si="15"/>
        <v>1.610386647945854</v>
      </c>
      <c r="AD22">
        <v>2002</v>
      </c>
      <c r="AE22">
        <v>128.38171351707814</v>
      </c>
      <c r="AF22">
        <v>125.3074</v>
      </c>
      <c r="AG22">
        <f t="shared" si="16"/>
        <v>1.2643323659726953</v>
      </c>
      <c r="AH22">
        <f t="shared" si="17"/>
        <v>1.2404919700587838</v>
      </c>
      <c r="AZ22" s="3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>
        <v>2009</v>
      </c>
      <c r="BV22">
        <v>1.08</v>
      </c>
      <c r="BW22">
        <v>1.012</v>
      </c>
      <c r="BX22">
        <v>1.0589999999999999</v>
      </c>
      <c r="BY22">
        <f t="shared" si="20"/>
        <v>1.0518342170760742</v>
      </c>
      <c r="BZ22">
        <f t="shared" si="3"/>
        <v>0.94625294362100032</v>
      </c>
      <c r="CA22">
        <f t="shared" si="4"/>
        <v>0.94204665260938325</v>
      </c>
      <c r="CC22">
        <v>2004</v>
      </c>
      <c r="CD22">
        <v>312.41199999999998</v>
      </c>
      <c r="CE22" s="32">
        <v>374.988</v>
      </c>
      <c r="CF22">
        <f t="shared" si="5"/>
        <v>0.8077573891732438</v>
      </c>
      <c r="CG22">
        <f t="shared" si="6"/>
        <v>0.82509990948807954</v>
      </c>
      <c r="CI22">
        <v>2004</v>
      </c>
      <c r="CJ22">
        <v>6.5977600000000001</v>
      </c>
      <c r="CK22" s="32">
        <v>7.4897999999999998</v>
      </c>
      <c r="CL22">
        <f t="shared" si="7"/>
        <v>0.86676182812210434</v>
      </c>
      <c r="CM22">
        <f t="shared" si="8"/>
        <v>0.88174422848262946</v>
      </c>
      <c r="CO22">
        <v>2019</v>
      </c>
      <c r="CP22">
        <v>376.81682000000001</v>
      </c>
      <c r="CQ22">
        <v>1.35</v>
      </c>
      <c r="CR22">
        <f t="shared" si="31"/>
        <v>1.0636351740040095</v>
      </c>
      <c r="CS22">
        <f>+CQ22/CQ$30</f>
        <v>1.2665562913907285</v>
      </c>
      <c r="CU22" s="30">
        <f t="shared" si="27"/>
        <v>1977</v>
      </c>
      <c r="CV22">
        <v>1.26</v>
      </c>
      <c r="CY22">
        <v>0.79</v>
      </c>
      <c r="DA22">
        <f t="shared" si="32"/>
        <v>0.99380281690140848</v>
      </c>
      <c r="DD22">
        <f t="shared" si="11"/>
        <v>0.80436363636363639</v>
      </c>
      <c r="DG22" s="30">
        <f t="shared" si="28"/>
        <v>1977</v>
      </c>
      <c r="DH22">
        <v>6.8159231030671105E-2</v>
      </c>
      <c r="DK22">
        <f t="shared" si="33"/>
        <v>0.89565302108797729</v>
      </c>
      <c r="DQ22">
        <v>2009</v>
      </c>
      <c r="DR22">
        <v>6.6643837740710499</v>
      </c>
      <c r="DS22">
        <v>6.7138989999999996</v>
      </c>
      <c r="DT22">
        <f t="shared" si="21"/>
        <v>1.0269023622633493</v>
      </c>
      <c r="DU22">
        <f t="shared" si="22"/>
        <v>1.0356590249335622</v>
      </c>
    </row>
    <row r="23" spans="18:125">
      <c r="R23">
        <v>2003</v>
      </c>
      <c r="S23">
        <v>128.6</v>
      </c>
      <c r="T23">
        <v>170.91</v>
      </c>
      <c r="U23">
        <f t="shared" si="12"/>
        <v>0.81340923466160653</v>
      </c>
      <c r="V23">
        <f t="shared" si="13"/>
        <v>0.97829166726291827</v>
      </c>
      <c r="X23">
        <v>2003</v>
      </c>
      <c r="Y23">
        <v>2.8991044162129205</v>
      </c>
      <c r="Z23">
        <v>7.0759999999999996</v>
      </c>
      <c r="AA23">
        <f t="shared" si="23"/>
        <v>1.017519932990834</v>
      </c>
      <c r="AB23">
        <f t="shared" si="15"/>
        <v>1.0088083785602235</v>
      </c>
      <c r="AD23">
        <v>2003</v>
      </c>
      <c r="AE23">
        <v>81.829007597647475</v>
      </c>
      <c r="AF23">
        <v>80.783600000000007</v>
      </c>
      <c r="AG23">
        <f t="shared" si="16"/>
        <v>0.80587071123153786</v>
      </c>
      <c r="AH23">
        <f t="shared" si="17"/>
        <v>0.79972457422658816</v>
      </c>
      <c r="AL23">
        <f>AVERAGE(AL7:AL15)</f>
        <v>178.93444444444444</v>
      </c>
      <c r="AM23">
        <f>AVERAGE(AM7:AM15)</f>
        <v>201.63888888888886</v>
      </c>
      <c r="AS23">
        <f>AVERAGE(AS7:AS15)</f>
        <v>5.7533333333333339</v>
      </c>
      <c r="AT23">
        <f>AVERAGE(AT7:AT15)</f>
        <v>6.8733333333333331</v>
      </c>
      <c r="AZ23" s="31">
        <f>AVERAGE(AZ7:AZ13)</f>
        <v>143.78285714285715</v>
      </c>
      <c r="BA23" s="31">
        <f>AVERAGE(BA7:BA13)</f>
        <v>91.539142857142863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>
        <v>2010</v>
      </c>
      <c r="BV23">
        <v>1.06</v>
      </c>
      <c r="BW23">
        <v>1.1910000000000001</v>
      </c>
      <c r="BX23">
        <v>1.1419999999999999</v>
      </c>
      <c r="BY23">
        <f t="shared" si="20"/>
        <v>1.0323558056487394</v>
      </c>
      <c r="BZ23">
        <f t="shared" si="3"/>
        <v>1.1136237706053473</v>
      </c>
      <c r="CA23">
        <f t="shared" si="4"/>
        <v>1.0158803373748022</v>
      </c>
      <c r="CC23">
        <v>2005</v>
      </c>
      <c r="CD23">
        <v>379.16199999999998</v>
      </c>
      <c r="CE23" s="32">
        <v>456.08600000000001</v>
      </c>
      <c r="CF23">
        <f t="shared" si="5"/>
        <v>0.98034296759953354</v>
      </c>
      <c r="CG23">
        <f t="shared" si="6"/>
        <v>1.0035428262205197</v>
      </c>
      <c r="CI23">
        <v>2005</v>
      </c>
      <c r="CJ23">
        <v>7.8385600000000002</v>
      </c>
      <c r="CK23" s="32">
        <v>8.9107000000000003</v>
      </c>
      <c r="CL23">
        <f t="shared" si="7"/>
        <v>1.0297683752432345</v>
      </c>
      <c r="CM23">
        <f t="shared" si="8"/>
        <v>1.0490211082726062</v>
      </c>
      <c r="CO23">
        <v>2020</v>
      </c>
      <c r="CP23">
        <v>240.583158</v>
      </c>
      <c r="CQ23">
        <v>0.84</v>
      </c>
      <c r="CR23">
        <f t="shared" si="31"/>
        <v>0.67909046396008577</v>
      </c>
      <c r="CS23">
        <f>+CQ23/CQ$30</f>
        <v>0.78807947019867541</v>
      </c>
      <c r="CU23" s="30">
        <f t="shared" si="27"/>
        <v>1978</v>
      </c>
      <c r="CV23">
        <v>1.0900000000000001</v>
      </c>
      <c r="CY23">
        <v>0.69</v>
      </c>
      <c r="DA23">
        <f t="shared" si="32"/>
        <v>0.85971830985915498</v>
      </c>
      <c r="DD23">
        <f t="shared" si="11"/>
        <v>0.70254545454545447</v>
      </c>
      <c r="DG23" s="30">
        <f t="shared" si="28"/>
        <v>1978</v>
      </c>
      <c r="DH23">
        <v>6.8119132538156407E-2</v>
      </c>
      <c r="DK23">
        <f t="shared" si="33"/>
        <v>0.89512610293736461</v>
      </c>
      <c r="DQ23">
        <v>2010</v>
      </c>
      <c r="DR23">
        <v>5.3863831844990404</v>
      </c>
      <c r="DS23">
        <v>5.5972059999999999</v>
      </c>
      <c r="DT23">
        <f t="shared" si="21"/>
        <v>0.82997765490908482</v>
      </c>
      <c r="DU23">
        <f t="shared" si="22"/>
        <v>0.86340245933283843</v>
      </c>
    </row>
    <row r="24" spans="18:125">
      <c r="R24">
        <v>2004</v>
      </c>
      <c r="S24">
        <v>125.6</v>
      </c>
      <c r="T24">
        <v>172.18</v>
      </c>
      <c r="U24">
        <f t="shared" si="12"/>
        <v>0.79443390259329538</v>
      </c>
      <c r="V24">
        <f t="shared" si="13"/>
        <v>0.98556116827177631</v>
      </c>
      <c r="X24">
        <v>2004</v>
      </c>
      <c r="Y24">
        <v>2.56453865423213</v>
      </c>
      <c r="Z24">
        <v>5.0777000000000001</v>
      </c>
      <c r="AA24">
        <f t="shared" si="23"/>
        <v>0.9000949344954644</v>
      </c>
      <c r="AB24">
        <f t="shared" si="15"/>
        <v>0.72391553191283886</v>
      </c>
      <c r="AD24">
        <v>2004</v>
      </c>
      <c r="AE24">
        <v>61.264716475417828</v>
      </c>
      <c r="AF24">
        <v>60.114199999999997</v>
      </c>
      <c r="AG24">
        <f t="shared" si="16"/>
        <v>0.60334888676888798</v>
      </c>
      <c r="AH24">
        <f t="shared" si="17"/>
        <v>0.59510597447962155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>
        <v>2011</v>
      </c>
      <c r="BV24">
        <v>1.038</v>
      </c>
      <c r="BW24">
        <v>1.0489999999999999</v>
      </c>
      <c r="BX24">
        <v>1.073</v>
      </c>
      <c r="BY24">
        <f t="shared" si="20"/>
        <v>1.0109295530786711</v>
      </c>
      <c r="BZ24">
        <f t="shared" si="3"/>
        <v>0.98084914808145185</v>
      </c>
      <c r="CA24">
        <f t="shared" si="4"/>
        <v>0.95450052714812861</v>
      </c>
      <c r="CC24">
        <v>2006</v>
      </c>
      <c r="CD24">
        <v>382.24400000000003</v>
      </c>
      <c r="CE24" s="32">
        <v>454.75</v>
      </c>
      <c r="CF24">
        <f t="shared" si="5"/>
        <v>0.9883116380521153</v>
      </c>
      <c r="CG24">
        <f t="shared" si="6"/>
        <v>1.0006031762075165</v>
      </c>
      <c r="CI24">
        <v>2006</v>
      </c>
      <c r="CJ24">
        <v>7.8538600000000001</v>
      </c>
      <c r="CK24" s="32">
        <v>8.8582999999999998</v>
      </c>
      <c r="CL24">
        <f t="shared" si="7"/>
        <v>1.0317783689335578</v>
      </c>
      <c r="CM24">
        <f t="shared" si="8"/>
        <v>1.0428522656369563</v>
      </c>
      <c r="CO24">
        <f>+CO23+1</f>
        <v>2021</v>
      </c>
      <c r="CQ24">
        <v>0.97</v>
      </c>
      <c r="CS24">
        <f t="shared" ref="CS24:CS27" si="34">+CQ24/CQ$30</f>
        <v>0.91004415011037521</v>
      </c>
      <c r="CU24" s="30">
        <f t="shared" si="27"/>
        <v>1979</v>
      </c>
      <c r="CV24">
        <v>1.21</v>
      </c>
      <c r="CY24">
        <v>0.8</v>
      </c>
      <c r="DA24">
        <f t="shared" si="32"/>
        <v>0.95436619718309856</v>
      </c>
      <c r="DD24">
        <f t="shared" si="11"/>
        <v>0.81454545454545468</v>
      </c>
      <c r="DG24" s="30">
        <f t="shared" si="28"/>
        <v>1979</v>
      </c>
      <c r="DH24">
        <v>7.9214007771898909E-2</v>
      </c>
      <c r="DK24">
        <f t="shared" si="33"/>
        <v>1.0409193927299683</v>
      </c>
      <c r="DQ24">
        <v>2011</v>
      </c>
      <c r="DR24">
        <v>4.5953535934882002</v>
      </c>
      <c r="DS24">
        <v>4.7201839999999997</v>
      </c>
      <c r="DT24">
        <f t="shared" si="21"/>
        <v>0.70808939289307105</v>
      </c>
      <c r="DU24">
        <f t="shared" si="22"/>
        <v>0.72811657711070743</v>
      </c>
    </row>
    <row r="25" spans="18:125">
      <c r="R25">
        <v>2005</v>
      </c>
      <c r="S25">
        <v>131.5</v>
      </c>
      <c r="T25">
        <v>170.75</v>
      </c>
      <c r="U25">
        <f t="shared" si="12"/>
        <v>0.8317520556609741</v>
      </c>
      <c r="V25">
        <f t="shared" si="13"/>
        <v>0.97737582461613304</v>
      </c>
      <c r="X25">
        <v>2005</v>
      </c>
      <c r="Y25">
        <v>2.78538714216646</v>
      </c>
      <c r="Z25">
        <v>6.2751999999999999</v>
      </c>
      <c r="AA25">
        <f t="shared" si="23"/>
        <v>0.97760774755157842</v>
      </c>
      <c r="AB25">
        <f t="shared" si="15"/>
        <v>0.89464023984470264</v>
      </c>
      <c r="AD25">
        <v>2005</v>
      </c>
      <c r="AE25">
        <v>84.279493158811633</v>
      </c>
      <c r="AF25">
        <v>81.707099999999997</v>
      </c>
      <c r="AG25">
        <f t="shared" si="16"/>
        <v>0.83000365137115095</v>
      </c>
      <c r="AH25">
        <f t="shared" si="17"/>
        <v>0.80886684622608118</v>
      </c>
      <c r="AZ25" s="3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>
        <v>2012</v>
      </c>
      <c r="BV25">
        <v>0.99099999999999999</v>
      </c>
      <c r="BW25">
        <v>0.95399999999999996</v>
      </c>
      <c r="BX25">
        <v>1.1040000000000001</v>
      </c>
      <c r="BY25">
        <f t="shared" si="20"/>
        <v>0.96515528622443458</v>
      </c>
      <c r="BZ25">
        <f t="shared" si="3"/>
        <v>0.89202105554785993</v>
      </c>
      <c r="CA25">
        <f t="shared" si="4"/>
        <v>0.98207696362677921</v>
      </c>
      <c r="CC25">
        <v>2007</v>
      </c>
      <c r="CD25">
        <v>371.55700000000002</v>
      </c>
      <c r="CE25" s="32">
        <v>446.61799999999999</v>
      </c>
      <c r="CF25">
        <f t="shared" si="5"/>
        <v>0.96067984664175188</v>
      </c>
      <c r="CG25">
        <f t="shared" si="6"/>
        <v>0.98271003705651139</v>
      </c>
      <c r="CI25">
        <v>2007</v>
      </c>
      <c r="CJ25">
        <v>7.5805600000000002</v>
      </c>
      <c r="CK25" s="32">
        <v>8.6100999999999992</v>
      </c>
      <c r="CL25">
        <f t="shared" si="7"/>
        <v>0.99587436399464357</v>
      </c>
      <c r="CM25">
        <f t="shared" si="8"/>
        <v>1.013632671320768</v>
      </c>
      <c r="CO25">
        <f t="shared" ref="CO25:CO27" si="35">+CO24+1</f>
        <v>2022</v>
      </c>
      <c r="CQ25">
        <v>0.86</v>
      </c>
      <c r="CS25">
        <f t="shared" si="34"/>
        <v>0.80684326710816778</v>
      </c>
      <c r="CU25" s="30">
        <f t="shared" si="27"/>
        <v>1980</v>
      </c>
      <c r="CV25">
        <v>1.43</v>
      </c>
      <c r="CY25">
        <v>0.8</v>
      </c>
      <c r="DA25">
        <f t="shared" si="32"/>
        <v>1.127887323943662</v>
      </c>
      <c r="DD25">
        <f t="shared" si="11"/>
        <v>0.81454545454545468</v>
      </c>
      <c r="DG25" s="30">
        <f t="shared" si="28"/>
        <v>1980</v>
      </c>
      <c r="DH25">
        <v>7.0038220972424597E-2</v>
      </c>
      <c r="DK25">
        <f t="shared" si="33"/>
        <v>0.92034407162474374</v>
      </c>
      <c r="DQ25">
        <v>2012</v>
      </c>
      <c r="DR25">
        <v>5.0103946373239703</v>
      </c>
      <c r="DS25">
        <v>5.1592269999999996</v>
      </c>
      <c r="DT25">
        <f t="shared" si="21"/>
        <v>0.7720422867839406</v>
      </c>
      <c r="DU25">
        <f t="shared" si="22"/>
        <v>0.79584158239957248</v>
      </c>
    </row>
    <row r="26" spans="18:125">
      <c r="R26">
        <v>2006</v>
      </c>
      <c r="S26">
        <v>136.5</v>
      </c>
      <c r="T26">
        <v>180.52</v>
      </c>
      <c r="U26">
        <f t="shared" si="12"/>
        <v>0.86337760910815942</v>
      </c>
      <c r="V26">
        <f t="shared" si="13"/>
        <v>1.0332994662354573</v>
      </c>
      <c r="X26">
        <v>2006</v>
      </c>
      <c r="Y26">
        <v>2.8937857714870003</v>
      </c>
      <c r="Z26">
        <v>7.0103</v>
      </c>
      <c r="AA26">
        <f t="shared" si="23"/>
        <v>1.0156532092554433</v>
      </c>
      <c r="AB26">
        <f t="shared" si="15"/>
        <v>0.99944168685991186</v>
      </c>
      <c r="AD26">
        <v>2006</v>
      </c>
      <c r="AE26">
        <v>112.68897316668333</v>
      </c>
      <c r="AF26">
        <v>108.5994</v>
      </c>
      <c r="AG26">
        <f t="shared" si="16"/>
        <v>1.1097866834743035</v>
      </c>
      <c r="AH26">
        <f t="shared" si="17"/>
        <v>1.0750896088595077</v>
      </c>
      <c r="AZ26" s="3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>
        <v>2013</v>
      </c>
      <c r="BV26">
        <v>0.871</v>
      </c>
      <c r="BW26">
        <v>0.90400000000000003</v>
      </c>
      <c r="BX26">
        <v>1.2689999999999999</v>
      </c>
      <c r="BY26">
        <f t="shared" si="20"/>
        <v>0.84828481766042629</v>
      </c>
      <c r="BZ26">
        <f t="shared" si="3"/>
        <v>0.84526942789860116</v>
      </c>
      <c r="CA26">
        <f t="shared" si="4"/>
        <v>1.1288547706905641</v>
      </c>
      <c r="CC26">
        <v>2008</v>
      </c>
      <c r="CD26">
        <v>359.34500000000003</v>
      </c>
      <c r="CE26" s="32">
        <v>429.935</v>
      </c>
      <c r="CF26">
        <f t="shared" si="5"/>
        <v>0.92910508883288523</v>
      </c>
      <c r="CG26">
        <f t="shared" si="6"/>
        <v>0.94600181762018376</v>
      </c>
      <c r="CI26">
        <v>2008</v>
      </c>
      <c r="CJ26">
        <v>7.1675300000000002</v>
      </c>
      <c r="CK26" s="32">
        <v>8.1821000000000002</v>
      </c>
      <c r="CL26">
        <f t="shared" si="7"/>
        <v>0.94161373040547502</v>
      </c>
      <c r="CM26">
        <f t="shared" si="8"/>
        <v>0.96324594139599484</v>
      </c>
      <c r="CO26">
        <f t="shared" si="35"/>
        <v>2023</v>
      </c>
      <c r="CQ26">
        <v>0.99</v>
      </c>
      <c r="CS26">
        <f t="shared" si="34"/>
        <v>0.92880794701986746</v>
      </c>
      <c r="CU26" s="30">
        <f t="shared" si="27"/>
        <v>1981</v>
      </c>
      <c r="CV26">
        <v>1.02</v>
      </c>
      <c r="CY26">
        <v>0.77</v>
      </c>
      <c r="DA26">
        <f t="shared" si="32"/>
        <v>0.80450704225352121</v>
      </c>
      <c r="DD26">
        <f t="shared" si="11"/>
        <v>0.78400000000000003</v>
      </c>
      <c r="DG26" s="30">
        <f t="shared" si="28"/>
        <v>1981</v>
      </c>
      <c r="DH26">
        <v>6.6576859318218398E-2</v>
      </c>
      <c r="DK26">
        <f t="shared" si="33"/>
        <v>0.8748597113145048</v>
      </c>
      <c r="DQ26">
        <v>2013</v>
      </c>
      <c r="DR26">
        <v>6.4501486287169998</v>
      </c>
      <c r="DS26">
        <v>6.5476000000000001</v>
      </c>
      <c r="DT26">
        <f t="shared" si="21"/>
        <v>0.99389127162060309</v>
      </c>
      <c r="DU26">
        <f t="shared" si="22"/>
        <v>1.0100064108284907</v>
      </c>
    </row>
    <row r="27" spans="18:125">
      <c r="R27">
        <v>2007</v>
      </c>
      <c r="S27">
        <v>140.6</v>
      </c>
      <c r="T27">
        <v>183.8</v>
      </c>
      <c r="U27">
        <f t="shared" si="12"/>
        <v>0.88931056293485133</v>
      </c>
      <c r="V27">
        <f t="shared" si="13"/>
        <v>1.0520742404945551</v>
      </c>
      <c r="X27">
        <v>2007</v>
      </c>
      <c r="Y27">
        <v>3.1726671802081801</v>
      </c>
      <c r="Z27">
        <v>9.3298000000000005</v>
      </c>
      <c r="AA27">
        <f t="shared" si="23"/>
        <v>1.1135342620134698</v>
      </c>
      <c r="AB27">
        <f t="shared" si="15"/>
        <v>1.3301272484865991</v>
      </c>
      <c r="AD27">
        <v>2007</v>
      </c>
      <c r="AE27">
        <v>120.06508468926947</v>
      </c>
      <c r="AF27">
        <v>118.58710000000001</v>
      </c>
      <c r="AG27">
        <f t="shared" si="16"/>
        <v>1.1824283103660431</v>
      </c>
      <c r="AH27">
        <f t="shared" si="17"/>
        <v>1.1739637507645837</v>
      </c>
      <c r="AZ27" s="3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>
        <v>2014</v>
      </c>
      <c r="BV27">
        <v>0.95299999999999996</v>
      </c>
      <c r="BW27">
        <v>0.96099999999999997</v>
      </c>
      <c r="BX27">
        <v>1.304</v>
      </c>
      <c r="BY27">
        <f t="shared" si="20"/>
        <v>0.92814630451249858</v>
      </c>
      <c r="BZ27">
        <f t="shared" si="3"/>
        <v>0.89856628341875622</v>
      </c>
      <c r="CA27">
        <f t="shared" si="4"/>
        <v>1.1599894570374276</v>
      </c>
      <c r="CC27">
        <v>2009</v>
      </c>
      <c r="CD27">
        <v>393.04700000000003</v>
      </c>
      <c r="CE27" s="32">
        <v>471.76900000000001</v>
      </c>
      <c r="CF27">
        <f t="shared" si="5"/>
        <v>1.0162433534639386</v>
      </c>
      <c r="CG27">
        <f t="shared" si="6"/>
        <v>1.0380507088207671</v>
      </c>
      <c r="CI27">
        <v>2009</v>
      </c>
      <c r="CJ27">
        <v>7.7980200000000002</v>
      </c>
      <c r="CK27" s="32">
        <v>8.9045000000000005</v>
      </c>
      <c r="CL27">
        <f t="shared" si="7"/>
        <v>1.0244425488245605</v>
      </c>
      <c r="CM27">
        <f t="shared" si="8"/>
        <v>1.0482912070447241</v>
      </c>
      <c r="CO27">
        <f t="shared" si="35"/>
        <v>2024</v>
      </c>
      <c r="CQ27">
        <v>0.93</v>
      </c>
      <c r="CS27">
        <f t="shared" si="34"/>
        <v>0.8725165562913908</v>
      </c>
      <c r="CU27" s="30">
        <f t="shared" si="27"/>
        <v>1982</v>
      </c>
      <c r="CV27">
        <v>0.91</v>
      </c>
      <c r="CY27">
        <v>0.88</v>
      </c>
      <c r="DA27">
        <f t="shared" si="32"/>
        <v>0.7177464788732395</v>
      </c>
      <c r="DD27">
        <f t="shared" si="11"/>
        <v>0.89600000000000002</v>
      </c>
      <c r="DG27" s="30">
        <f t="shared" si="28"/>
        <v>1982</v>
      </c>
      <c r="DH27">
        <v>6.6675724394273397E-2</v>
      </c>
      <c r="DK27">
        <f t="shared" si="33"/>
        <v>0.87615885748604694</v>
      </c>
      <c r="DQ27">
        <v>2014</v>
      </c>
      <c r="DR27">
        <v>5.1642473915368798</v>
      </c>
      <c r="DS27">
        <v>5.2539300000000004</v>
      </c>
      <c r="DT27">
        <f t="shared" si="21"/>
        <v>0.79574916833488818</v>
      </c>
      <c r="DU27">
        <f t="shared" si="22"/>
        <v>0.81045008583971723</v>
      </c>
    </row>
    <row r="28" spans="18:125">
      <c r="R28">
        <v>2008</v>
      </c>
      <c r="S28">
        <v>134</v>
      </c>
      <c r="T28">
        <v>171.93</v>
      </c>
      <c r="U28">
        <f t="shared" si="12"/>
        <v>0.84756483238456681</v>
      </c>
      <c r="V28">
        <f t="shared" si="13"/>
        <v>0.98413016413617427</v>
      </c>
      <c r="X28">
        <v>2008</v>
      </c>
      <c r="Y28">
        <v>3.0964094889804494</v>
      </c>
      <c r="Z28">
        <v>8.6974</v>
      </c>
      <c r="AA28">
        <f t="shared" si="23"/>
        <v>1.086769541007168</v>
      </c>
      <c r="AB28">
        <f t="shared" si="15"/>
        <v>1.2399674945858803</v>
      </c>
      <c r="AD28">
        <v>2008</v>
      </c>
      <c r="AE28">
        <v>152.83731307703985</v>
      </c>
      <c r="AF28">
        <v>153.37280000000001</v>
      </c>
      <c r="AG28">
        <f t="shared" si="16"/>
        <v>1.5051766825490902</v>
      </c>
      <c r="AH28">
        <f t="shared" si="17"/>
        <v>1.5183279425271918</v>
      </c>
      <c r="AZ28" s="3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>
        <v>2015</v>
      </c>
      <c r="BV28">
        <v>1.1200000000000001</v>
      </c>
      <c r="BW28">
        <v>1.0169999999999999</v>
      </c>
      <c r="BX28">
        <v>1.3560000000000001</v>
      </c>
      <c r="BY28">
        <f t="shared" si="20"/>
        <v>1.0907910399307434</v>
      </c>
      <c r="BZ28">
        <f t="shared" si="3"/>
        <v>0.95092810638592618</v>
      </c>
      <c r="CA28">
        <f t="shared" si="4"/>
        <v>1.2062467053241963</v>
      </c>
      <c r="CC28">
        <v>2010</v>
      </c>
      <c r="CD28">
        <v>381.83199999999999</v>
      </c>
      <c r="CE28" s="32">
        <v>462.90899999999999</v>
      </c>
      <c r="CF28">
        <f t="shared" si="5"/>
        <v>0.98724639073658516</v>
      </c>
      <c r="CG28">
        <f t="shared" si="6"/>
        <v>1.0185557244530956</v>
      </c>
      <c r="CI28">
        <v>2010</v>
      </c>
      <c r="CJ28">
        <v>7.8418000000000001</v>
      </c>
      <c r="CK28" s="32">
        <v>9.0088000000000008</v>
      </c>
      <c r="CL28">
        <f t="shared" si="7"/>
        <v>1.0301940209658911</v>
      </c>
      <c r="CM28">
        <f t="shared" si="8"/>
        <v>1.0605700293137752</v>
      </c>
      <c r="CU28" s="30">
        <f t="shared" si="27"/>
        <v>1983</v>
      </c>
      <c r="CV28">
        <v>0.89</v>
      </c>
      <c r="CY28">
        <v>0.76</v>
      </c>
      <c r="DA28">
        <f t="shared" si="32"/>
        <v>0.70197183098591553</v>
      </c>
      <c r="DD28">
        <f t="shared" si="11"/>
        <v>0.77381818181818185</v>
      </c>
      <c r="DG28" s="30">
        <f t="shared" si="28"/>
        <v>1983</v>
      </c>
      <c r="DH28">
        <v>8.0338266386718399E-2</v>
      </c>
      <c r="DK28">
        <f t="shared" si="33"/>
        <v>1.0556928226765905</v>
      </c>
      <c r="DQ28">
        <v>2015</v>
      </c>
      <c r="DR28">
        <v>6.0779396428308203</v>
      </c>
      <c r="DS28">
        <v>6.143891</v>
      </c>
      <c r="DT28">
        <f t="shared" si="21"/>
        <v>0.9365382889863697</v>
      </c>
      <c r="DU28">
        <f t="shared" si="22"/>
        <v>0.94773188610047443</v>
      </c>
    </row>
    <row r="29" spans="18:125">
      <c r="R29">
        <v>2009</v>
      </c>
      <c r="S29">
        <v>121.9</v>
      </c>
      <c r="T29">
        <v>159.22</v>
      </c>
      <c r="U29">
        <f t="shared" si="12"/>
        <v>0.77103099304237832</v>
      </c>
      <c r="V29">
        <f t="shared" si="13"/>
        <v>0.91137791388217104</v>
      </c>
      <c r="X29">
        <v>2009</v>
      </c>
      <c r="Y29">
        <v>2.5369542932983302</v>
      </c>
      <c r="Z29">
        <v>4.9981</v>
      </c>
      <c r="AA29">
        <f t="shared" si="23"/>
        <v>0.89041344909190678</v>
      </c>
      <c r="AB29">
        <f t="shared" si="15"/>
        <v>0.71256715049206532</v>
      </c>
      <c r="AD29">
        <v>2009</v>
      </c>
      <c r="AE29">
        <v>98.095061668678852</v>
      </c>
      <c r="AF29">
        <v>99.0274</v>
      </c>
      <c r="AG29">
        <f t="shared" si="16"/>
        <v>0.96606251787798147</v>
      </c>
      <c r="AH29">
        <f t="shared" si="17"/>
        <v>0.98033072680303956</v>
      </c>
      <c r="AZ29" s="3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>
        <v>2016</v>
      </c>
      <c r="BV29">
        <v>0.99299999999999999</v>
      </c>
      <c r="BW29">
        <v>0.997</v>
      </c>
      <c r="BX29">
        <v>1.244</v>
      </c>
      <c r="BY29">
        <f t="shared" si="20"/>
        <v>0.96710312736716808</v>
      </c>
      <c r="BZ29">
        <f t="shared" si="3"/>
        <v>0.93222745532622264</v>
      </c>
      <c r="CA29">
        <f t="shared" si="4"/>
        <v>1.106615709014233</v>
      </c>
      <c r="CC29">
        <v>2011</v>
      </c>
      <c r="CD29">
        <v>369.94</v>
      </c>
      <c r="CE29" s="32">
        <v>447.82600000000002</v>
      </c>
      <c r="CF29">
        <f t="shared" si="5"/>
        <v>0.95649900948347</v>
      </c>
      <c r="CG29">
        <f t="shared" si="6"/>
        <v>0.9853680439544964</v>
      </c>
      <c r="CI29">
        <v>2011</v>
      </c>
      <c r="CJ29">
        <v>7.5333899999999998</v>
      </c>
      <c r="CK29" s="32">
        <v>8.6811000000000007</v>
      </c>
      <c r="CL29">
        <f t="shared" si="7"/>
        <v>0.98967754031016275</v>
      </c>
      <c r="CM29">
        <f t="shared" si="8"/>
        <v>1.0219912176400645</v>
      </c>
      <c r="CU29" s="30">
        <f t="shared" si="27"/>
        <v>1984</v>
      </c>
      <c r="CV29">
        <v>1.21</v>
      </c>
      <c r="CY29">
        <v>1.1000000000000001</v>
      </c>
      <c r="DA29">
        <f t="shared" si="32"/>
        <v>0.95436619718309856</v>
      </c>
      <c r="DD29">
        <f t="shared" si="11"/>
        <v>1.1200000000000001</v>
      </c>
      <c r="DG29" s="30">
        <f t="shared" si="28"/>
        <v>1984</v>
      </c>
      <c r="DH29">
        <v>8.8079335689366794E-2</v>
      </c>
      <c r="DK29">
        <f t="shared" si="33"/>
        <v>1.1574150986255152</v>
      </c>
      <c r="DQ29">
        <v>2016</v>
      </c>
      <c r="DR29">
        <v>5.5996063875635302</v>
      </c>
      <c r="DS29">
        <v>5.6238919999999997</v>
      </c>
      <c r="DT29">
        <f t="shared" si="21"/>
        <v>0.86283281726755856</v>
      </c>
      <c r="DU29">
        <f t="shared" si="22"/>
        <v>0.8675189342365236</v>
      </c>
    </row>
    <row r="30" spans="18:125">
      <c r="R30">
        <v>2010</v>
      </c>
      <c r="S30">
        <v>141.4</v>
      </c>
      <c r="T30">
        <v>178.51</v>
      </c>
      <c r="U30">
        <f t="shared" si="12"/>
        <v>0.89437065148640105</v>
      </c>
      <c r="V30">
        <f t="shared" si="13"/>
        <v>1.0217941929852177</v>
      </c>
      <c r="X30">
        <v>2010</v>
      </c>
      <c r="Y30">
        <v>2.6394083236010686</v>
      </c>
      <c r="Z30">
        <v>5.5175999999999998</v>
      </c>
      <c r="AA30">
        <f t="shared" si="23"/>
        <v>0.92637249129310595</v>
      </c>
      <c r="AB30">
        <f t="shared" si="15"/>
        <v>0.78663102169924959</v>
      </c>
      <c r="AD30">
        <v>2010</v>
      </c>
      <c r="AE30">
        <v>106.68430505721923</v>
      </c>
      <c r="AF30">
        <v>106.1998</v>
      </c>
      <c r="AG30">
        <f t="shared" si="16"/>
        <v>1.0506513437928495</v>
      </c>
      <c r="AH30">
        <f t="shared" si="17"/>
        <v>1.0513345510468561</v>
      </c>
      <c r="AZ30" s="3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>
        <v>2017</v>
      </c>
      <c r="BV30">
        <v>0.79300000000000004</v>
      </c>
      <c r="BW30">
        <v>0.80700000000000005</v>
      </c>
      <c r="BX30">
        <v>1.173</v>
      </c>
      <c r="BY30">
        <f t="shared" si="20"/>
        <v>0.77231901309382101</v>
      </c>
      <c r="BZ30">
        <f t="shared" si="3"/>
        <v>0.75457127025903881</v>
      </c>
      <c r="CA30">
        <f t="shared" si="4"/>
        <v>1.0434567738534528</v>
      </c>
      <c r="CC30">
        <v>2012</v>
      </c>
      <c r="CD30">
        <v>394.411</v>
      </c>
      <c r="CE30" s="32">
        <v>480.04300000000001</v>
      </c>
      <c r="CF30">
        <f t="shared" si="5"/>
        <v>1.0197700460328294</v>
      </c>
      <c r="CG30">
        <f t="shared" si="6"/>
        <v>1.0562562958024955</v>
      </c>
      <c r="CI30">
        <v>2012</v>
      </c>
      <c r="CJ30">
        <v>7.9988099999999998</v>
      </c>
      <c r="CK30" s="32">
        <v>9.2303999999999995</v>
      </c>
      <c r="CL30">
        <f t="shared" si="7"/>
        <v>1.0508207601369812</v>
      </c>
      <c r="CM30">
        <f t="shared" si="8"/>
        <v>1.0866581119103398</v>
      </c>
      <c r="CP30">
        <f>+AVERAGE(CP7:CP23)</f>
        <v>354.27262017058825</v>
      </c>
      <c r="CQ30">
        <f>+AVERAGE(CQ7:CQ23)</f>
        <v>1.0658823529411765</v>
      </c>
      <c r="CU30" s="30">
        <f t="shared" si="27"/>
        <v>1985</v>
      </c>
      <c r="CV30">
        <v>1.61</v>
      </c>
      <c r="CY30">
        <v>1.5</v>
      </c>
      <c r="DA30">
        <f t="shared" si="32"/>
        <v>1.2698591549295777</v>
      </c>
      <c r="DD30">
        <f t="shared" si="11"/>
        <v>1.5272727272727273</v>
      </c>
      <c r="DG30" s="30">
        <f t="shared" si="28"/>
        <v>1985</v>
      </c>
      <c r="DH30">
        <v>7.74368195753357E-2</v>
      </c>
      <c r="DK30">
        <f t="shared" si="33"/>
        <v>1.0175660779518503</v>
      </c>
      <c r="DQ30">
        <v>2017</v>
      </c>
      <c r="DR30">
        <v>5.1546112974337399</v>
      </c>
      <c r="DS30">
        <v>5.2499650000000004</v>
      </c>
      <c r="DT30">
        <f t="shared" si="21"/>
        <v>0.79426436071681461</v>
      </c>
      <c r="DU30">
        <f t="shared" si="22"/>
        <v>0.80983846090555278</v>
      </c>
    </row>
    <row r="31" spans="18:125">
      <c r="R31">
        <v>2011</v>
      </c>
      <c r="S31">
        <v>116.3</v>
      </c>
      <c r="T31">
        <v>149.11000000000001</v>
      </c>
      <c r="U31">
        <f t="shared" si="12"/>
        <v>0.73561037318153066</v>
      </c>
      <c r="V31">
        <f t="shared" si="13"/>
        <v>0.85350810663842824</v>
      </c>
      <c r="X31">
        <v>2011</v>
      </c>
      <c r="Y31">
        <v>2.7650485887193499</v>
      </c>
      <c r="Z31">
        <v>6.2457000000000003</v>
      </c>
      <c r="AA31">
        <f t="shared" si="23"/>
        <v>0.97046937632738239</v>
      </c>
      <c r="AB31">
        <f t="shared" si="15"/>
        <v>0.8904344954739386</v>
      </c>
      <c r="AD31">
        <v>2011</v>
      </c>
      <c r="AE31">
        <v>102.6752164213425</v>
      </c>
      <c r="AF31">
        <v>101.9984</v>
      </c>
      <c r="AG31">
        <f t="shared" si="16"/>
        <v>1.011168925452032</v>
      </c>
      <c r="AH31">
        <f t="shared" si="17"/>
        <v>1.0097424107342732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>
        <v>2018</v>
      </c>
      <c r="BV31">
        <v>0.877</v>
      </c>
      <c r="BW31">
        <v>0.92700000000000005</v>
      </c>
      <c r="BX31">
        <v>1.1719999999999999</v>
      </c>
      <c r="BY31">
        <f t="shared" si="20"/>
        <v>0.85412834108862679</v>
      </c>
      <c r="BZ31">
        <f t="shared" si="3"/>
        <v>0.86677517661726022</v>
      </c>
      <c r="CA31">
        <f t="shared" si="4"/>
        <v>1.0425672113863995</v>
      </c>
      <c r="CC31">
        <v>2013</v>
      </c>
      <c r="CD31">
        <v>397.74299999999999</v>
      </c>
      <c r="CE31" s="32">
        <v>482.10700000000003</v>
      </c>
      <c r="CF31">
        <f t="shared" si="5"/>
        <v>1.0283851044195917</v>
      </c>
      <c r="CG31">
        <f t="shared" si="6"/>
        <v>1.0607977910321653</v>
      </c>
      <c r="CI31">
        <v>2013</v>
      </c>
      <c r="CJ31">
        <v>7.8774300000000004</v>
      </c>
      <c r="CK31" s="32">
        <v>9.0305</v>
      </c>
      <c r="CL31">
        <f t="shared" si="7"/>
        <v>1.0348748101937488</v>
      </c>
      <c r="CM31">
        <f t="shared" si="8"/>
        <v>1.0631246836113628</v>
      </c>
      <c r="CU31" s="30">
        <f t="shared" si="27"/>
        <v>1986</v>
      </c>
      <c r="CV31">
        <v>1.21</v>
      </c>
      <c r="CY31">
        <v>1</v>
      </c>
      <c r="DA31">
        <f t="shared" si="32"/>
        <v>0.95436619718309856</v>
      </c>
      <c r="DD31">
        <f t="shared" si="11"/>
        <v>1.0181818181818183</v>
      </c>
      <c r="DG31" s="30">
        <f t="shared" si="28"/>
        <v>1986</v>
      </c>
      <c r="DH31">
        <v>7.0361952487095106E-2</v>
      </c>
      <c r="DK31">
        <f t="shared" si="33"/>
        <v>0.92459809715806507</v>
      </c>
      <c r="DQ31">
        <v>2018</v>
      </c>
      <c r="DR31">
        <v>6.3867322963796598</v>
      </c>
      <c r="DS31">
        <v>6.4869490000000001</v>
      </c>
      <c r="DT31">
        <f t="shared" si="21"/>
        <v>0.98411956823571367</v>
      </c>
      <c r="DU31">
        <f t="shared" si="22"/>
        <v>1.0006506317914148</v>
      </c>
    </row>
    <row r="32" spans="18:125">
      <c r="R32">
        <v>2012</v>
      </c>
      <c r="S32">
        <v>106.5</v>
      </c>
      <c r="T32">
        <v>137.97999999999999</v>
      </c>
      <c r="U32">
        <f t="shared" si="12"/>
        <v>0.67362428842504751</v>
      </c>
      <c r="V32">
        <f t="shared" si="13"/>
        <v>0.78979980252142912</v>
      </c>
      <c r="X32">
        <v>2012</v>
      </c>
      <c r="Y32">
        <v>3.0661729477162201</v>
      </c>
      <c r="Z32">
        <v>8.5123999999999995</v>
      </c>
      <c r="AA32">
        <f t="shared" si="23"/>
        <v>1.0761572004274371</v>
      </c>
      <c r="AB32">
        <f t="shared" si="15"/>
        <v>1.2135924875149871</v>
      </c>
      <c r="AD32">
        <v>2012</v>
      </c>
      <c r="AE32">
        <v>131.74843236217282</v>
      </c>
      <c r="AF32">
        <v>135.04740000000001</v>
      </c>
      <c r="AG32">
        <f t="shared" si="16"/>
        <v>1.2974885802525209</v>
      </c>
      <c r="AH32">
        <f t="shared" si="17"/>
        <v>1.3369139833506769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>
        <v>2019</v>
      </c>
      <c r="BV32">
        <v>0.68400000000000005</v>
      </c>
      <c r="BW32">
        <v>0.80300000000000005</v>
      </c>
      <c r="BX32">
        <v>1.026</v>
      </c>
      <c r="BY32">
        <f t="shared" si="20"/>
        <v>0.6661616708148469</v>
      </c>
      <c r="BZ32">
        <f t="shared" si="3"/>
        <v>0.75083114004709817</v>
      </c>
      <c r="CA32">
        <f t="shared" si="4"/>
        <v>0.91269109119662628</v>
      </c>
      <c r="CC32">
        <v>2014</v>
      </c>
      <c r="CD32">
        <v>416.84699999999998</v>
      </c>
      <c r="CE32" s="32">
        <v>509.82900000000001</v>
      </c>
      <c r="CF32">
        <f t="shared" si="5"/>
        <v>1.0777794847979565</v>
      </c>
      <c r="CG32">
        <f t="shared" si="6"/>
        <v>1.1217955288019832</v>
      </c>
      <c r="CI32">
        <v>2014</v>
      </c>
      <c r="CJ32">
        <v>7.88971</v>
      </c>
      <c r="CK32" s="32">
        <v>9.1165000000000003</v>
      </c>
      <c r="CL32">
        <f t="shared" si="7"/>
        <v>1.0364880600314725</v>
      </c>
      <c r="CM32">
        <f t="shared" si="8"/>
        <v>1.0732491199981162</v>
      </c>
      <c r="CU32" s="30">
        <f t="shared" si="27"/>
        <v>1987</v>
      </c>
      <c r="CV32">
        <v>2.0099999999999998</v>
      </c>
      <c r="CY32">
        <v>1.5</v>
      </c>
      <c r="DA32">
        <f t="shared" si="32"/>
        <v>1.5853521126760564</v>
      </c>
      <c r="DD32">
        <f t="shared" si="11"/>
        <v>1.5272727272727273</v>
      </c>
      <c r="DG32" s="30">
        <f t="shared" si="28"/>
        <v>1987</v>
      </c>
      <c r="DH32">
        <v>7.3649738254378996E-2</v>
      </c>
      <c r="DK32">
        <f t="shared" si="33"/>
        <v>0.96780156660203187</v>
      </c>
      <c r="DQ32">
        <v>2019</v>
      </c>
      <c r="DR32">
        <v>5.1978342080958999</v>
      </c>
      <c r="DS32">
        <v>5.2972789999999996</v>
      </c>
      <c r="DT32">
        <f t="shared" si="21"/>
        <v>0.80092449773286711</v>
      </c>
      <c r="DU32">
        <f t="shared" si="22"/>
        <v>0.81713692802662596</v>
      </c>
    </row>
    <row r="33" spans="18:125">
      <c r="R33">
        <v>2013</v>
      </c>
      <c r="S33">
        <v>167.9</v>
      </c>
      <c r="T33">
        <v>217.8</v>
      </c>
      <c r="U33">
        <f t="shared" si="12"/>
        <v>1.0619860847564833</v>
      </c>
      <c r="V33">
        <f t="shared" si="13"/>
        <v>1.2466908029364205</v>
      </c>
      <c r="X33">
        <v>2013</v>
      </c>
      <c r="Y33">
        <v>2.8232575824422894</v>
      </c>
      <c r="Z33">
        <v>6.6513</v>
      </c>
      <c r="AA33">
        <f t="shared" si="23"/>
        <v>0.99089941363862877</v>
      </c>
      <c r="AB33">
        <f t="shared" si="15"/>
        <v>0.94825991638179985</v>
      </c>
      <c r="AD33">
        <v>2013</v>
      </c>
      <c r="AE33">
        <v>88.379047592506254</v>
      </c>
      <c r="AF33">
        <v>89.253799999999998</v>
      </c>
      <c r="AG33">
        <f t="shared" si="16"/>
        <v>0.87037699750114694</v>
      </c>
      <c r="AH33">
        <f t="shared" si="17"/>
        <v>0.88357608726406156</v>
      </c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>
        <v>2020</v>
      </c>
      <c r="BV33">
        <v>0.628</v>
      </c>
      <c r="BW33">
        <v>0.64500000000000002</v>
      </c>
      <c r="BX33">
        <v>0.90100000000000002</v>
      </c>
      <c r="BY33">
        <f t="shared" si="20"/>
        <v>0.61162211881830975</v>
      </c>
      <c r="BZ33">
        <f t="shared" si="3"/>
        <v>0.60309599667544</v>
      </c>
      <c r="CA33">
        <f t="shared" si="4"/>
        <v>0.80149578281497103</v>
      </c>
      <c r="CC33">
        <v>2015</v>
      </c>
      <c r="CD33">
        <v>450.238</v>
      </c>
      <c r="CE33" s="32">
        <v>548.32100000000003</v>
      </c>
      <c r="CF33">
        <f t="shared" si="5"/>
        <v>1.164113642838889</v>
      </c>
      <c r="CG33">
        <f t="shared" si="6"/>
        <v>1.2064908942963861</v>
      </c>
      <c r="CI33">
        <v>2015</v>
      </c>
      <c r="CJ33">
        <v>8.6737800000000007</v>
      </c>
      <c r="CK33" s="32">
        <v>9.9362999999999992</v>
      </c>
      <c r="CL33">
        <f t="shared" si="7"/>
        <v>1.1394930111930333</v>
      </c>
      <c r="CM33">
        <f t="shared" si="8"/>
        <v>1.1697608984848662</v>
      </c>
      <c r="CU33" s="30">
        <f t="shared" si="27"/>
        <v>1988</v>
      </c>
      <c r="CV33">
        <v>1.6</v>
      </c>
      <c r="CY33">
        <v>1.3</v>
      </c>
      <c r="DA33">
        <f t="shared" si="32"/>
        <v>1.2619718309859156</v>
      </c>
      <c r="DD33">
        <f t="shared" si="11"/>
        <v>1.3236363636363637</v>
      </c>
      <c r="DG33" s="30">
        <f t="shared" si="28"/>
        <v>1988</v>
      </c>
      <c r="DH33">
        <v>9.22801026088165E-2</v>
      </c>
      <c r="DK33">
        <f t="shared" si="33"/>
        <v>1.2126156859179174</v>
      </c>
      <c r="DQ33">
        <v>2020</v>
      </c>
      <c r="DR33">
        <v>5.1558841953670598</v>
      </c>
      <c r="DS33">
        <v>5.3184769999999997</v>
      </c>
      <c r="DT33">
        <f t="shared" si="21"/>
        <v>0.79446049916546335</v>
      </c>
      <c r="DU33">
        <f t="shared" si="22"/>
        <v>0.82040684614879933</v>
      </c>
    </row>
    <row r="34" spans="18:125">
      <c r="R34">
        <v>2014</v>
      </c>
      <c r="S34">
        <v>128.4</v>
      </c>
      <c r="T34">
        <v>171.6</v>
      </c>
      <c r="U34">
        <f t="shared" si="12"/>
        <v>0.81214421252371927</v>
      </c>
      <c r="V34">
        <f t="shared" si="13"/>
        <v>0.98224123867717961</v>
      </c>
      <c r="X34">
        <v>2014</v>
      </c>
      <c r="Y34">
        <v>2.8517455813198298</v>
      </c>
      <c r="Z34">
        <v>6.8518999999999997</v>
      </c>
      <c r="AA34">
        <f t="shared" si="23"/>
        <v>1.000898055476712</v>
      </c>
      <c r="AB34">
        <f t="shared" si="15"/>
        <v>0.97685897810299549</v>
      </c>
      <c r="AD34">
        <v>2014</v>
      </c>
      <c r="AE34">
        <v>95.170864377808925</v>
      </c>
      <c r="AF34">
        <v>96.435199999999995</v>
      </c>
      <c r="AG34">
        <f t="shared" si="16"/>
        <v>0.93726435669091568</v>
      </c>
      <c r="AH34">
        <f t="shared" si="17"/>
        <v>0.95466900782406161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>
        <v>2021</v>
      </c>
      <c r="BW34">
        <v>0.79600000000000004</v>
      </c>
      <c r="BX34">
        <v>0.84199999999999997</v>
      </c>
      <c r="BZ34">
        <f t="shared" si="3"/>
        <v>0.74428591217620188</v>
      </c>
      <c r="CA34">
        <f t="shared" si="4"/>
        <v>0.74901159725882971</v>
      </c>
      <c r="CC34">
        <v>2016</v>
      </c>
      <c r="CD34">
        <v>491.21699999999998</v>
      </c>
      <c r="CE34" s="32">
        <v>601.62900000000002</v>
      </c>
      <c r="CF34">
        <f t="shared" si="5"/>
        <v>1.2700669674580787</v>
      </c>
      <c r="CG34">
        <f t="shared" si="6"/>
        <v>1.3237864503541548</v>
      </c>
      <c r="CI34">
        <v>2016</v>
      </c>
      <c r="CJ34">
        <v>9.2461699999999993</v>
      </c>
      <c r="CK34" s="32">
        <v>10.5943</v>
      </c>
      <c r="CL34">
        <f t="shared" si="7"/>
        <v>1.2146891084743545</v>
      </c>
      <c r="CM34">
        <f t="shared" si="8"/>
        <v>1.2472246094439801</v>
      </c>
      <c r="CU34" s="30">
        <f t="shared" si="27"/>
        <v>1989</v>
      </c>
      <c r="CV34">
        <v>1.19</v>
      </c>
      <c r="CY34">
        <v>1.2</v>
      </c>
      <c r="DA34">
        <f t="shared" si="32"/>
        <v>0.93859154929577471</v>
      </c>
      <c r="DD34">
        <f t="shared" si="11"/>
        <v>1.2218181818181819</v>
      </c>
      <c r="DG34" s="30">
        <f t="shared" si="28"/>
        <v>1989</v>
      </c>
      <c r="DH34">
        <v>9.3064833442520201E-2</v>
      </c>
      <c r="DK34">
        <f t="shared" si="33"/>
        <v>1.2229275179518106</v>
      </c>
      <c r="DQ34">
        <v>2021</v>
      </c>
      <c r="DR34">
        <v>5.4082688263210397</v>
      </c>
      <c r="DS34">
        <v>5.5248229999999996</v>
      </c>
      <c r="DT34">
        <f t="shared" si="21"/>
        <v>0.83334997229784347</v>
      </c>
      <c r="DU34">
        <f t="shared" si="22"/>
        <v>0.85223694921691828</v>
      </c>
    </row>
    <row r="35" spans="18:125">
      <c r="R35">
        <v>2015</v>
      </c>
      <c r="S35">
        <v>115.7</v>
      </c>
      <c r="T35">
        <v>148.27000000000001</v>
      </c>
      <c r="U35">
        <f t="shared" si="12"/>
        <v>0.73181530676786843</v>
      </c>
      <c r="V35">
        <f t="shared" si="13"/>
        <v>0.84869993274280564</v>
      </c>
      <c r="X35">
        <v>2015</v>
      </c>
      <c r="Y35">
        <v>2.8530835962855803</v>
      </c>
      <c r="Z35">
        <v>6.8243</v>
      </c>
      <c r="AA35">
        <f t="shared" si="23"/>
        <v>1.0013676683994743</v>
      </c>
      <c r="AB35">
        <f t="shared" si="15"/>
        <v>0.97292411218322983</v>
      </c>
      <c r="AD35">
        <v>2015</v>
      </c>
      <c r="AE35">
        <v>86.049720402122745</v>
      </c>
      <c r="AF35">
        <v>86.127799999999993</v>
      </c>
      <c r="AG35">
        <f t="shared" si="16"/>
        <v>0.84743725260242853</v>
      </c>
      <c r="AH35">
        <f t="shared" si="17"/>
        <v>0.85262996677633485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>
        <v>2022</v>
      </c>
      <c r="BW35">
        <v>0.82599999999999996</v>
      </c>
      <c r="BX35">
        <v>0.85599999999999998</v>
      </c>
      <c r="BZ35">
        <f t="shared" si="3"/>
        <v>0.77233688876575712</v>
      </c>
      <c r="CA35">
        <f t="shared" si="4"/>
        <v>0.76146547179757518</v>
      </c>
      <c r="CC35">
        <v>2017</v>
      </c>
      <c r="CD35">
        <v>479.27</v>
      </c>
      <c r="CE35" s="32">
        <v>590.58399999999995</v>
      </c>
      <c r="CF35">
        <f t="shared" si="5"/>
        <v>1.2391773808594437</v>
      </c>
      <c r="CG35">
        <f t="shared" si="6"/>
        <v>1.2994837299996478</v>
      </c>
      <c r="CI35">
        <v>2017</v>
      </c>
      <c r="CJ35">
        <v>9.0578299999999992</v>
      </c>
      <c r="CK35" s="32">
        <v>10.4672</v>
      </c>
      <c r="CL35">
        <f t="shared" si="7"/>
        <v>1.1899464802628832</v>
      </c>
      <c r="CM35">
        <f t="shared" si="8"/>
        <v>1.2322616342723942</v>
      </c>
      <c r="CU35" s="30">
        <f t="shared" si="27"/>
        <v>1990</v>
      </c>
      <c r="CV35">
        <v>1.75</v>
      </c>
      <c r="CZ35">
        <v>1.3</v>
      </c>
      <c r="DA35">
        <f t="shared" si="32"/>
        <v>1.3802816901408452</v>
      </c>
      <c r="DE35">
        <f t="shared" si="11"/>
        <v>1.3840694006309151</v>
      </c>
      <c r="DG35" s="30">
        <f t="shared" si="28"/>
        <v>1990</v>
      </c>
      <c r="DH35">
        <v>7.6592709729269098E-2</v>
      </c>
      <c r="DK35">
        <f t="shared" si="33"/>
        <v>1.0064739702163703</v>
      </c>
      <c r="DQ35">
        <v>2022</v>
      </c>
      <c r="DR35">
        <v>6.0171015593729198</v>
      </c>
      <c r="DS35">
        <v>6.1139169999999998</v>
      </c>
      <c r="DT35">
        <f t="shared" si="21"/>
        <v>0.92716386312248689</v>
      </c>
      <c r="DU35">
        <f t="shared" si="22"/>
        <v>0.94310821755655405</v>
      </c>
    </row>
    <row r="36" spans="18:125">
      <c r="R36">
        <v>2016</v>
      </c>
      <c r="S36">
        <v>125.5</v>
      </c>
      <c r="T36">
        <v>165.22</v>
      </c>
      <c r="U36">
        <f t="shared" si="12"/>
        <v>0.7938013915243517</v>
      </c>
      <c r="V36">
        <f t="shared" si="13"/>
        <v>0.94572201313661786</v>
      </c>
      <c r="X36">
        <v>2016</v>
      </c>
      <c r="Y36">
        <v>2.8625356509052802</v>
      </c>
      <c r="Z36">
        <v>6.8734999999999999</v>
      </c>
      <c r="AA36">
        <f t="shared" si="23"/>
        <v>1.0046851253111595</v>
      </c>
      <c r="AB36">
        <f t="shared" si="15"/>
        <v>0.97993843838802963</v>
      </c>
      <c r="AD36">
        <v>2016</v>
      </c>
      <c r="AE36">
        <v>70.787764366509265</v>
      </c>
      <c r="AF36">
        <v>70.599199999999996</v>
      </c>
      <c r="AG36">
        <f t="shared" si="16"/>
        <v>0.69713403218847492</v>
      </c>
      <c r="AH36">
        <f t="shared" si="17"/>
        <v>0.69890318283336883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>
        <v>2023</v>
      </c>
      <c r="BW36">
        <v>0.81499999999999995</v>
      </c>
      <c r="BX36">
        <v>0.82599999999999996</v>
      </c>
      <c r="BZ36">
        <f t="shared" si="3"/>
        <v>0.7620515306829202</v>
      </c>
      <c r="CA36">
        <f t="shared" si="4"/>
        <v>0.73477859778597787</v>
      </c>
      <c r="CC36">
        <v>2018</v>
      </c>
      <c r="CD36">
        <v>421.23399999999998</v>
      </c>
      <c r="CE36" s="32">
        <v>521.23500000000001</v>
      </c>
      <c r="CF36">
        <f t="shared" si="5"/>
        <v>1.0891223002669621</v>
      </c>
      <c r="CG36">
        <f t="shared" si="6"/>
        <v>1.1468925707543152</v>
      </c>
      <c r="CI36">
        <v>2018</v>
      </c>
      <c r="CJ36">
        <v>7.9774700000000003</v>
      </c>
      <c r="CK36" s="32">
        <v>9.3323</v>
      </c>
      <c r="CL36">
        <f t="shared" si="7"/>
        <v>1.0480172787414583</v>
      </c>
      <c r="CM36">
        <f t="shared" si="8"/>
        <v>1.0986543917685976</v>
      </c>
      <c r="CU36" s="30">
        <f t="shared" si="27"/>
        <v>1991</v>
      </c>
      <c r="CV36">
        <v>0.81</v>
      </c>
      <c r="CZ36">
        <v>2</v>
      </c>
      <c r="DA36">
        <f t="shared" si="32"/>
        <v>0.63887323943661978</v>
      </c>
      <c r="DE36">
        <f t="shared" si="11"/>
        <v>2.1293375394321767</v>
      </c>
      <c r="DG36" s="30">
        <f t="shared" si="28"/>
        <v>1991</v>
      </c>
      <c r="DQ36">
        <v>2023</v>
      </c>
      <c r="DR36">
        <v>7.3382240660437601</v>
      </c>
      <c r="DS36">
        <v>7.3435269999999999</v>
      </c>
      <c r="DT36">
        <f t="shared" si="21"/>
        <v>1.1307331455845655</v>
      </c>
      <c r="DU36">
        <f t="shared" si="22"/>
        <v>1.132782904895246</v>
      </c>
    </row>
    <row r="37" spans="18:125">
      <c r="R37">
        <v>2017</v>
      </c>
      <c r="S37">
        <v>70.7</v>
      </c>
      <c r="T37">
        <v>108.6</v>
      </c>
      <c r="U37">
        <f t="shared" si="12"/>
        <v>0.44718532574320052</v>
      </c>
      <c r="V37">
        <f t="shared" si="13"/>
        <v>0.62162819650548784</v>
      </c>
      <c r="X37">
        <v>2017</v>
      </c>
      <c r="Y37">
        <v>2.7949918487378498</v>
      </c>
      <c r="Z37">
        <v>6.4325999999999999</v>
      </c>
      <c r="AA37">
        <f t="shared" si="23"/>
        <v>0.98097878183798182</v>
      </c>
      <c r="AB37">
        <f t="shared" si="15"/>
        <v>0.91708038099583022</v>
      </c>
      <c r="AD37">
        <v>2017</v>
      </c>
      <c r="AE37">
        <v>122.09759759176026</v>
      </c>
      <c r="AF37">
        <v>124.6284</v>
      </c>
      <c r="AG37">
        <f t="shared" si="16"/>
        <v>1.2024449605296537</v>
      </c>
      <c r="AH37">
        <f t="shared" si="17"/>
        <v>1.2337701479822749</v>
      </c>
      <c r="BF37" s="1"/>
      <c r="BG37" s="1"/>
      <c r="BH37" s="1"/>
      <c r="BI37" s="1"/>
      <c r="BJ37" s="1"/>
      <c r="BK37" s="1"/>
      <c r="BL37" s="1"/>
      <c r="BM37" s="1"/>
      <c r="BN37" s="1"/>
      <c r="BO37" s="1"/>
      <c r="BQ37" s="1"/>
      <c r="BR37" s="1"/>
      <c r="BS37" s="1"/>
      <c r="BT37" s="1"/>
      <c r="BU37">
        <v>2024</v>
      </c>
      <c r="BW37">
        <v>0.63500000000000001</v>
      </c>
      <c r="BX37">
        <v>0.58799999999999997</v>
      </c>
      <c r="BZ37">
        <f t="shared" si="3"/>
        <v>0.59374567114558818</v>
      </c>
      <c r="CA37">
        <f t="shared" si="4"/>
        <v>0.52306273062730624</v>
      </c>
      <c r="CC37">
        <v>2019</v>
      </c>
      <c r="CD37">
        <v>419.13900000000001</v>
      </c>
      <c r="CE37" s="1">
        <v>523.18399999999997</v>
      </c>
      <c r="CF37">
        <f t="shared" si="5"/>
        <v>1.0837055693785267</v>
      </c>
      <c r="CG37">
        <f t="shared" si="6"/>
        <v>1.1511810272478356</v>
      </c>
      <c r="CI37">
        <v>2019</v>
      </c>
      <c r="CJ37">
        <v>8.1461400000000008</v>
      </c>
      <c r="CK37">
        <v>9.7132000000000005</v>
      </c>
      <c r="CL37">
        <f t="shared" si="7"/>
        <v>1.0701758170255662</v>
      </c>
      <c r="CM37">
        <f t="shared" si="8"/>
        <v>1.1434962268815558</v>
      </c>
      <c r="CU37" s="30">
        <f t="shared" si="27"/>
        <v>1992</v>
      </c>
      <c r="CV37">
        <v>0.74</v>
      </c>
      <c r="CZ37">
        <v>2.1</v>
      </c>
      <c r="DA37">
        <f t="shared" si="32"/>
        <v>0.58366197183098589</v>
      </c>
      <c r="DE37">
        <f t="shared" si="11"/>
        <v>2.235804416403786</v>
      </c>
      <c r="DG37" s="30">
        <f t="shared" si="28"/>
        <v>1992</v>
      </c>
      <c r="DQ37">
        <v>2024</v>
      </c>
      <c r="DR37">
        <v>6.5342981976618297</v>
      </c>
      <c r="DS37">
        <v>6.5888629999999999</v>
      </c>
      <c r="DT37">
        <f t="shared" si="21"/>
        <v>1.0068577204420373</v>
      </c>
      <c r="DU37">
        <f t="shared" si="22"/>
        <v>1.0163714750550799</v>
      </c>
    </row>
    <row r="38" spans="18:125">
      <c r="R38">
        <v>2018</v>
      </c>
      <c r="S38">
        <v>84.299999999999983</v>
      </c>
      <c r="T38">
        <v>123.62</v>
      </c>
      <c r="U38">
        <f t="shared" si="12"/>
        <v>0.53320683111954448</v>
      </c>
      <c r="V38">
        <f t="shared" si="13"/>
        <v>0.70760292497245314</v>
      </c>
      <c r="X38">
        <v>2018</v>
      </c>
      <c r="Y38">
        <v>2.57384361287802</v>
      </c>
      <c r="Z38">
        <v>5.1405000000000003</v>
      </c>
      <c r="AA38">
        <f t="shared" si="23"/>
        <v>0.9033607640547241</v>
      </c>
      <c r="AB38">
        <f t="shared" si="15"/>
        <v>0.73286877755636382</v>
      </c>
      <c r="AD38">
        <v>2018</v>
      </c>
      <c r="AE38">
        <v>106.26877832554077</v>
      </c>
      <c r="AF38">
        <v>106.9404</v>
      </c>
      <c r="AG38">
        <f t="shared" si="16"/>
        <v>1.0465591418631872</v>
      </c>
      <c r="AH38">
        <f t="shared" si="17"/>
        <v>1.0586661879096873</v>
      </c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CC38">
        <v>2020</v>
      </c>
      <c r="CE38">
        <v>445.37700000000001</v>
      </c>
      <c r="CG38">
        <f>+CE38/CE$45</f>
        <v>0.97997941904293573</v>
      </c>
      <c r="CI38">
        <v>2020</v>
      </c>
      <c r="CK38">
        <v>8.4940999999999995</v>
      </c>
      <c r="CM38">
        <f>+CK38/CK$45</f>
        <v>0.99997645479910047</v>
      </c>
      <c r="CU38" s="30">
        <f t="shared" si="27"/>
        <v>1993</v>
      </c>
      <c r="CV38">
        <v>0.8</v>
      </c>
      <c r="CZ38">
        <v>1.5</v>
      </c>
      <c r="DA38">
        <f t="shared" si="32"/>
        <v>0.63098591549295779</v>
      </c>
      <c r="DE38">
        <f t="shared" si="11"/>
        <v>1.5970031545741328</v>
      </c>
      <c r="DG38" s="30">
        <f t="shared" si="28"/>
        <v>1993</v>
      </c>
    </row>
    <row r="39" spans="18:125">
      <c r="R39">
        <v>2019</v>
      </c>
      <c r="T39">
        <v>128.25</v>
      </c>
      <c r="V39">
        <f t="shared" si="13"/>
        <v>0.73410512156380126</v>
      </c>
      <c r="X39">
        <v>2019</v>
      </c>
      <c r="Z39">
        <v>4.7872000000000003</v>
      </c>
      <c r="AB39">
        <f t="shared" si="15"/>
        <v>0.68249964243124694</v>
      </c>
      <c r="AD39">
        <v>2019</v>
      </c>
      <c r="AF39">
        <v>79.205500000000001</v>
      </c>
      <c r="AH39">
        <f t="shared" ref="AH39:AH44" si="36">+AF39/AF$46</f>
        <v>0.78410203016335023</v>
      </c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CC39">
        <v>2021</v>
      </c>
      <c r="CE39">
        <v>495.51900000000001</v>
      </c>
      <c r="CG39">
        <f>+CE39/CE$45</f>
        <v>1.0903087086776742</v>
      </c>
      <c r="CI39">
        <v>2021</v>
      </c>
      <c r="CK39">
        <v>9.2329000000000008</v>
      </c>
      <c r="CM39">
        <f>+CK39/CK$45</f>
        <v>1.0869524269215827</v>
      </c>
      <c r="CU39" s="30">
        <f t="shared" si="27"/>
        <v>1994</v>
      </c>
      <c r="CW39">
        <v>0.68</v>
      </c>
      <c r="CZ39">
        <v>1.6</v>
      </c>
      <c r="DB39">
        <f t="shared" ref="DB39:DB49" si="37">+CW39/CW$71</f>
        <v>1.2397029034436193</v>
      </c>
      <c r="DE39">
        <f t="shared" si="11"/>
        <v>1.7034700315457416</v>
      </c>
      <c r="DG39" s="30">
        <f t="shared" si="28"/>
        <v>1994</v>
      </c>
      <c r="DJ39">
        <v>0.58632003176731495</v>
      </c>
      <c r="DM39">
        <f t="shared" ref="DM39:DM69" si="38">+DJ39/DJ$71</f>
        <v>2.9475921897587902</v>
      </c>
    </row>
    <row r="40" spans="18:125">
      <c r="R40">
        <v>2020</v>
      </c>
      <c r="T40">
        <v>138.79</v>
      </c>
      <c r="V40">
        <f t="shared" si="13"/>
        <v>0.79443625592077949</v>
      </c>
      <c r="X40">
        <v>2020</v>
      </c>
      <c r="Z40">
        <v>5.1363000000000003</v>
      </c>
      <c r="AB40">
        <f t="shared" si="15"/>
        <v>0.73226999361205158</v>
      </c>
      <c r="AD40">
        <v>2020</v>
      </c>
      <c r="AF40">
        <v>77.893000000000001</v>
      </c>
      <c r="AH40">
        <f t="shared" si="36"/>
        <v>0.77110881738659365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>
        <f>+AVERAGE(BV7:BV33)</f>
        <v>1.0267777777777778</v>
      </c>
      <c r="BW40">
        <f>+AVERAGE(BW7:BW33)</f>
        <v>1.0694814814814813</v>
      </c>
      <c r="BX40">
        <f>+AVERAGE(BX7:BX33)</f>
        <v>1.1241481481481481</v>
      </c>
      <c r="CC40">
        <v>2022</v>
      </c>
      <c r="CE40">
        <v>460.06</v>
      </c>
      <c r="CG40">
        <f>+CE40/CE$45</f>
        <v>1.0122869648071029</v>
      </c>
      <c r="CI40">
        <v>2022</v>
      </c>
      <c r="CK40">
        <v>8.7981999999999996</v>
      </c>
      <c r="CM40">
        <f>+CK40/CK$45</f>
        <v>1.0357769327666786</v>
      </c>
      <c r="CU40" s="30">
        <f t="shared" si="27"/>
        <v>1995</v>
      </c>
      <c r="CW40">
        <v>0.57999999999999996</v>
      </c>
      <c r="CZ40">
        <v>1.2</v>
      </c>
      <c r="DB40">
        <f t="shared" si="37"/>
        <v>1.0573936529372046</v>
      </c>
      <c r="DE40">
        <f t="shared" si="11"/>
        <v>1.277602523659306</v>
      </c>
      <c r="DG40" s="30">
        <f t="shared" si="28"/>
        <v>1995</v>
      </c>
      <c r="DJ40">
        <v>0.397020971834387</v>
      </c>
      <c r="DM40">
        <f t="shared" si="38"/>
        <v>1.9959337091418152</v>
      </c>
    </row>
    <row r="41" spans="18:125">
      <c r="R41">
        <v>2021</v>
      </c>
      <c r="T41">
        <v>143.04</v>
      </c>
      <c r="V41">
        <f t="shared" si="13"/>
        <v>0.81876332622601267</v>
      </c>
      <c r="X41">
        <v>2021</v>
      </c>
      <c r="Z41">
        <v>6.6536999999999997</v>
      </c>
      <c r="AB41">
        <f t="shared" si="15"/>
        <v>0.94860207863569246</v>
      </c>
      <c r="AD41">
        <v>2021</v>
      </c>
      <c r="AF41">
        <v>93.605000000000004</v>
      </c>
      <c r="AH41">
        <f t="shared" si="36"/>
        <v>0.92665118626156517</v>
      </c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CC41">
        <v>2023</v>
      </c>
      <c r="CE41">
        <v>555.36400000000003</v>
      </c>
      <c r="CG41">
        <f>+CE41/CE$45</f>
        <v>1.2219878666328998</v>
      </c>
      <c r="CI41">
        <v>2023</v>
      </c>
      <c r="CK41">
        <v>10.79</v>
      </c>
      <c r="CM41">
        <f>+CK41/CK$45</f>
        <v>1.270263588524069</v>
      </c>
      <c r="CU41" s="30">
        <f t="shared" si="27"/>
        <v>1996</v>
      </c>
      <c r="CW41">
        <v>0.56000000000000005</v>
      </c>
      <c r="CZ41">
        <v>1.2</v>
      </c>
      <c r="DB41">
        <f t="shared" si="37"/>
        <v>1.0209318028359218</v>
      </c>
      <c r="DE41">
        <f t="shared" si="11"/>
        <v>1.277602523659306</v>
      </c>
      <c r="DG41" s="30">
        <f t="shared" si="28"/>
        <v>1996</v>
      </c>
      <c r="DJ41">
        <v>0.43723129326850702</v>
      </c>
      <c r="DM41">
        <f t="shared" si="38"/>
        <v>2.198082063257643</v>
      </c>
    </row>
    <row r="42" spans="18:125">
      <c r="R42">
        <v>2022</v>
      </c>
      <c r="T42">
        <v>91.21</v>
      </c>
      <c r="V42">
        <f t="shared" si="13"/>
        <v>0.522087548833016</v>
      </c>
      <c r="X42">
        <v>2022</v>
      </c>
      <c r="Z42">
        <v>6.1154999999999999</v>
      </c>
      <c r="AB42">
        <f t="shared" si="15"/>
        <v>0.8718721932002611</v>
      </c>
      <c r="AD42">
        <v>2022</v>
      </c>
      <c r="AF42">
        <v>91.876099999999994</v>
      </c>
      <c r="AH42">
        <f t="shared" si="36"/>
        <v>0.90953578392271972</v>
      </c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CC42">
        <v>2024</v>
      </c>
      <c r="CE42">
        <v>513.75300000000004</v>
      </c>
      <c r="CG42">
        <f>+CE42/CE$45</f>
        <v>1.1304296505467624</v>
      </c>
      <c r="CI42">
        <v>2024</v>
      </c>
      <c r="CK42">
        <v>9.7361000000000004</v>
      </c>
      <c r="CM42">
        <f>+CK42/CK$45</f>
        <v>1.1461921523845402</v>
      </c>
      <c r="CU42" s="30">
        <f t="shared" si="27"/>
        <v>1997</v>
      </c>
      <c r="CW42">
        <v>0.47</v>
      </c>
      <c r="CZ42">
        <v>1.3</v>
      </c>
      <c r="DB42">
        <f t="shared" si="37"/>
        <v>0.8568534773801485</v>
      </c>
      <c r="DE42">
        <f t="shared" si="11"/>
        <v>1.3840694006309151</v>
      </c>
      <c r="DG42" s="30">
        <f t="shared" si="28"/>
        <v>1997</v>
      </c>
      <c r="DJ42">
        <v>0.27092018032151399</v>
      </c>
      <c r="DM42">
        <f t="shared" si="38"/>
        <v>1.3619903197860594</v>
      </c>
    </row>
    <row r="43" spans="18:125">
      <c r="R43">
        <v>2023</v>
      </c>
      <c r="T43">
        <v>110.74</v>
      </c>
      <c r="V43">
        <f t="shared" si="13"/>
        <v>0.63387759190624049</v>
      </c>
      <c r="X43">
        <v>2023</v>
      </c>
      <c r="Z43">
        <v>6.0800999999999998</v>
      </c>
      <c r="AB43">
        <f t="shared" si="15"/>
        <v>0.8668252999553443</v>
      </c>
      <c r="AD43">
        <v>2023</v>
      </c>
      <c r="AF43">
        <v>99.397499999999994</v>
      </c>
      <c r="AH43">
        <f t="shared" si="36"/>
        <v>0.98399456531631768</v>
      </c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CU43" s="30">
        <f t="shared" si="27"/>
        <v>1998</v>
      </c>
      <c r="CW43">
        <v>0.46</v>
      </c>
      <c r="CZ43">
        <v>1.2</v>
      </c>
      <c r="DB43">
        <f t="shared" si="37"/>
        <v>0.83862255232950711</v>
      </c>
      <c r="DE43">
        <f t="shared" si="11"/>
        <v>1.277602523659306</v>
      </c>
      <c r="DG43" s="30">
        <f t="shared" si="28"/>
        <v>1998</v>
      </c>
      <c r="DI43">
        <v>0.14922494591451199</v>
      </c>
      <c r="DJ43">
        <v>0.201281962415262</v>
      </c>
      <c r="DL43">
        <f t="shared" ref="DL43:DL65" si="39">+DI43/DI$71</f>
        <v>1.7642403447675785</v>
      </c>
      <c r="DM43">
        <f t="shared" si="38"/>
        <v>1.0118998298014874</v>
      </c>
    </row>
    <row r="44" spans="18:125">
      <c r="R44">
        <v>2024</v>
      </c>
      <c r="T44">
        <v>118.74</v>
      </c>
      <c r="V44">
        <f t="shared" si="13"/>
        <v>0.67966972424550298</v>
      </c>
      <c r="X44">
        <v>2024</v>
      </c>
      <c r="Z44">
        <v>6.7824</v>
      </c>
      <c r="AB44">
        <f t="shared" si="15"/>
        <v>0.96695052950068694</v>
      </c>
      <c r="AD44">
        <v>2024</v>
      </c>
      <c r="AF44">
        <v>72.807000000000002</v>
      </c>
      <c r="AH44">
        <f t="shared" si="36"/>
        <v>0.7207594991522438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CU44" s="30">
        <f t="shared" si="27"/>
        <v>1999</v>
      </c>
      <c r="CW44">
        <v>0.47</v>
      </c>
      <c r="CZ44">
        <v>1.1000000000000001</v>
      </c>
      <c r="DB44">
        <f t="shared" si="37"/>
        <v>0.8568534773801485</v>
      </c>
      <c r="DE44">
        <f t="shared" si="11"/>
        <v>1.1711356466876974</v>
      </c>
      <c r="DG44" s="30">
        <f t="shared" si="28"/>
        <v>1999</v>
      </c>
      <c r="DI44">
        <v>0.10267444775727801</v>
      </c>
      <c r="DJ44">
        <v>0.18563456252924601</v>
      </c>
      <c r="DL44">
        <f t="shared" si="39"/>
        <v>1.2138882141990774</v>
      </c>
      <c r="DM44">
        <f t="shared" si="38"/>
        <v>0.93323604348153233</v>
      </c>
    </row>
    <row r="45" spans="18:125"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CD45">
        <f>+AVERAGE(CD7:CD37)</f>
        <v>386.76464516129039</v>
      </c>
      <c r="CE45">
        <f>+AVERAGE(CE7:CE37)</f>
        <v>454.47587096774197</v>
      </c>
      <c r="CJ45">
        <f>+AVERAGE(CJ7:CJ37)</f>
        <v>7.6119641935483875</v>
      </c>
      <c r="CK45">
        <f>+AVERAGE(CK7:CK37)</f>
        <v>8.4943000000000008</v>
      </c>
      <c r="CU45" s="30">
        <f t="shared" si="27"/>
        <v>2000</v>
      </c>
      <c r="CW45">
        <v>0.45</v>
      </c>
      <c r="CZ45">
        <v>1.2</v>
      </c>
      <c r="DB45">
        <f t="shared" si="37"/>
        <v>0.82039162727886561</v>
      </c>
      <c r="DE45">
        <f t="shared" si="11"/>
        <v>1.277602523659306</v>
      </c>
      <c r="DG45" s="30">
        <f t="shared" si="28"/>
        <v>2000</v>
      </c>
      <c r="DI45">
        <v>0.12554340596834701</v>
      </c>
      <c r="DJ45">
        <v>0.225719883111792</v>
      </c>
      <c r="DL45">
        <f t="shared" si="39"/>
        <v>1.4842608283187391</v>
      </c>
      <c r="DM45">
        <f t="shared" si="38"/>
        <v>1.1347559839088457</v>
      </c>
    </row>
    <row r="46" spans="18:125">
      <c r="S46">
        <f>+AVERAGE(S7:S38)</f>
        <v>158.1</v>
      </c>
      <c r="T46">
        <f>+AVERAGE(T7:T38)</f>
        <v>174.70250000000001</v>
      </c>
      <c r="Y46">
        <f>+AVERAGE(Y7:Y38)</f>
        <v>2.8491868534619029</v>
      </c>
      <c r="Z46">
        <f>+AVERAGE(Z7:Z38)</f>
        <v>7.0142161290322571</v>
      </c>
      <c r="AE46">
        <f>+AVERAGE(AE7:AE38)</f>
        <v>101.54111131870738</v>
      </c>
      <c r="AF46">
        <f>+AVERAGE(AF7:AF38)</f>
        <v>101.01427741935484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CU46" s="30">
        <f t="shared" si="27"/>
        <v>2001</v>
      </c>
      <c r="CW46">
        <v>0.46</v>
      </c>
      <c r="CZ46">
        <v>1</v>
      </c>
      <c r="DB46">
        <f t="shared" si="37"/>
        <v>0.83862255232950711</v>
      </c>
      <c r="DE46">
        <f t="shared" si="11"/>
        <v>1.0646687697160884</v>
      </c>
      <c r="DG46" s="30">
        <f t="shared" si="28"/>
        <v>2001</v>
      </c>
      <c r="DI46">
        <v>0.101018343269091</v>
      </c>
      <c r="DJ46">
        <v>0.187062237012422</v>
      </c>
      <c r="DL46">
        <f t="shared" si="39"/>
        <v>1.1943086034623847</v>
      </c>
      <c r="DM46">
        <f t="shared" si="38"/>
        <v>0.94041335608919285</v>
      </c>
    </row>
    <row r="47" spans="18:125"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CU47" s="30">
        <f t="shared" si="27"/>
        <v>2002</v>
      </c>
      <c r="CW47">
        <v>0.48</v>
      </c>
      <c r="CZ47">
        <v>0.96</v>
      </c>
      <c r="DB47">
        <f t="shared" si="37"/>
        <v>0.87508440243079</v>
      </c>
      <c r="DE47">
        <f t="shared" si="11"/>
        <v>1.0220820189274449</v>
      </c>
      <c r="DG47" s="30">
        <f t="shared" si="28"/>
        <v>2002</v>
      </c>
      <c r="DI47">
        <v>0.101130203312812</v>
      </c>
      <c r="DJ47">
        <v>0.192992412411777</v>
      </c>
      <c r="DL47">
        <f t="shared" si="39"/>
        <v>1.1956310901343725</v>
      </c>
      <c r="DM47">
        <f t="shared" si="38"/>
        <v>0.97022598015791217</v>
      </c>
    </row>
    <row r="48" spans="18:125"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CU48" s="30">
        <f t="shared" si="27"/>
        <v>2003</v>
      </c>
      <c r="CW48">
        <v>0.39</v>
      </c>
      <c r="CZ48">
        <v>0.63</v>
      </c>
      <c r="DB48">
        <f t="shared" si="37"/>
        <v>0.71100607697501694</v>
      </c>
      <c r="DE48">
        <f t="shared" si="11"/>
        <v>0.6707413249211357</v>
      </c>
      <c r="DG48" s="30">
        <f t="shared" si="28"/>
        <v>2003</v>
      </c>
      <c r="DI48">
        <v>9.8715106136223196E-2</v>
      </c>
      <c r="DJ48">
        <v>0.17051732650038801</v>
      </c>
      <c r="DL48">
        <f t="shared" si="39"/>
        <v>1.1670781437797251</v>
      </c>
      <c r="DM48">
        <f t="shared" si="38"/>
        <v>0.85723753680406345</v>
      </c>
    </row>
    <row r="49" spans="58:117"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CU49" s="30">
        <f t="shared" si="27"/>
        <v>2004</v>
      </c>
      <c r="CW49">
        <v>0.37</v>
      </c>
      <c r="CZ49">
        <v>0.62</v>
      </c>
      <c r="DB49">
        <f t="shared" si="37"/>
        <v>0.67454422687373394</v>
      </c>
      <c r="DE49">
        <f t="shared" si="11"/>
        <v>0.66009463722397488</v>
      </c>
      <c r="DG49" s="30">
        <f t="shared" si="28"/>
        <v>2004</v>
      </c>
      <c r="DI49">
        <v>7.4669205334566405E-2</v>
      </c>
      <c r="DJ49">
        <v>0.138148876372749</v>
      </c>
      <c r="DL49">
        <f t="shared" si="39"/>
        <v>0.88279090171990804</v>
      </c>
      <c r="DM49">
        <f t="shared" si="38"/>
        <v>0.69451242829422943</v>
      </c>
    </row>
    <row r="50" spans="58:117">
      <c r="BF50" s="1"/>
      <c r="BG50" s="1"/>
      <c r="BH50" s="1"/>
      <c r="BI50" s="1" t="s">
        <v>264</v>
      </c>
      <c r="BJ50" s="1"/>
      <c r="BK50" s="1"/>
      <c r="BL50" s="1"/>
      <c r="BM50" s="1"/>
      <c r="BN50" s="1"/>
      <c r="BO50" s="1"/>
      <c r="BP50" s="1"/>
      <c r="BQ50" s="1"/>
      <c r="BR50" s="1" t="s">
        <v>265</v>
      </c>
      <c r="BS50" s="1"/>
      <c r="BT50" s="1"/>
      <c r="CU50" s="30">
        <f>+CU49+1</f>
        <v>2005</v>
      </c>
      <c r="CW50">
        <v>0.48</v>
      </c>
      <c r="CZ50">
        <v>0.74</v>
      </c>
      <c r="DB50">
        <f t="shared" ref="DB50:DE65" si="40">+CW50/CW$71</f>
        <v>0.87508440243079</v>
      </c>
      <c r="DE50">
        <f t="shared" si="40"/>
        <v>0.78785488958990546</v>
      </c>
      <c r="DG50" s="30">
        <f>+DG49+1</f>
        <v>2005</v>
      </c>
      <c r="DI50">
        <v>7.0546430900042506E-2</v>
      </c>
      <c r="DJ50">
        <v>0.136326258637188</v>
      </c>
      <c r="DL50">
        <f t="shared" si="39"/>
        <v>0.8340486157355641</v>
      </c>
      <c r="DM50">
        <f t="shared" si="38"/>
        <v>0.68534962724501081</v>
      </c>
    </row>
    <row r="51" spans="58:117"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 t="s">
        <v>267</v>
      </c>
      <c r="BS51" s="1"/>
      <c r="BT51" s="1"/>
      <c r="CU51" s="30">
        <f t="shared" si="27"/>
        <v>2006</v>
      </c>
      <c r="CW51">
        <v>0.72</v>
      </c>
      <c r="CZ51">
        <v>1.3</v>
      </c>
      <c r="DB51">
        <f t="shared" si="40"/>
        <v>1.3126266036461849</v>
      </c>
      <c r="DE51">
        <f t="shared" si="40"/>
        <v>1.3840694006309151</v>
      </c>
      <c r="DG51" s="30">
        <f t="shared" si="28"/>
        <v>2006</v>
      </c>
      <c r="DI51">
        <v>0.100990313541792</v>
      </c>
      <c r="DJ51">
        <v>0.31501877223580799</v>
      </c>
      <c r="DL51">
        <f t="shared" si="39"/>
        <v>1.1939772166727922</v>
      </c>
      <c r="DM51">
        <f t="shared" si="38"/>
        <v>1.5836860798884849</v>
      </c>
    </row>
    <row r="52" spans="58:117"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 t="s">
        <v>266</v>
      </c>
      <c r="BS52" s="1"/>
      <c r="BT52" s="1"/>
      <c r="CU52" s="30">
        <f t="shared" si="27"/>
        <v>2007</v>
      </c>
      <c r="CW52">
        <v>0.65</v>
      </c>
      <c r="CZ52">
        <v>1</v>
      </c>
      <c r="DB52">
        <f t="shared" si="40"/>
        <v>1.1850101282916949</v>
      </c>
      <c r="DE52">
        <f t="shared" si="40"/>
        <v>1.0646687697160884</v>
      </c>
      <c r="DG52" s="30">
        <f t="shared" si="28"/>
        <v>2007</v>
      </c>
      <c r="DI52">
        <v>7.8502238661314103E-2</v>
      </c>
      <c r="DJ52">
        <v>0.21815637667617199</v>
      </c>
      <c r="DL52">
        <f t="shared" si="39"/>
        <v>0.9281076682728745</v>
      </c>
      <c r="DM52">
        <f t="shared" si="38"/>
        <v>1.0967321551312006</v>
      </c>
    </row>
    <row r="53" spans="58:117"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1"/>
      <c r="BR53" s="1"/>
      <c r="BS53" s="1"/>
      <c r="BT53" s="1"/>
      <c r="CU53" s="30">
        <f t="shared" si="27"/>
        <v>2008</v>
      </c>
      <c r="CW53">
        <v>0.59</v>
      </c>
      <c r="CZ53">
        <v>0.82</v>
      </c>
      <c r="DB53">
        <f t="shared" si="40"/>
        <v>1.0756245779878459</v>
      </c>
      <c r="DE53">
        <f t="shared" si="40"/>
        <v>0.87302839116719255</v>
      </c>
      <c r="DG53" s="30">
        <f t="shared" si="28"/>
        <v>2008</v>
      </c>
      <c r="DI53">
        <v>9.2869383469111805E-2</v>
      </c>
      <c r="DJ53">
        <v>0.29318321004556203</v>
      </c>
      <c r="DL53">
        <f t="shared" si="39"/>
        <v>1.0979659741593151</v>
      </c>
      <c r="DM53">
        <f t="shared" si="38"/>
        <v>1.4739126983156989</v>
      </c>
    </row>
    <row r="54" spans="58:117"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1"/>
      <c r="BR54" s="1"/>
      <c r="BS54" s="1"/>
      <c r="BT54" s="1"/>
      <c r="CU54" s="30">
        <f t="shared" si="27"/>
        <v>2009</v>
      </c>
      <c r="CW54">
        <v>0.49</v>
      </c>
      <c r="CZ54">
        <v>0.64</v>
      </c>
      <c r="DB54">
        <f t="shared" si="40"/>
        <v>0.8933153274814315</v>
      </c>
      <c r="DE54">
        <f t="shared" si="40"/>
        <v>0.68138801261829662</v>
      </c>
      <c r="DG54" s="30">
        <f t="shared" si="28"/>
        <v>2009</v>
      </c>
      <c r="DI54">
        <v>7.5849819123140705E-2</v>
      </c>
      <c r="DJ54">
        <v>0.222037955458778</v>
      </c>
      <c r="DL54">
        <f t="shared" si="39"/>
        <v>0.89674893309748294</v>
      </c>
      <c r="DM54">
        <f t="shared" si="38"/>
        <v>1.1162459201121717</v>
      </c>
    </row>
    <row r="55" spans="58:117"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1"/>
      <c r="BR55" s="1"/>
      <c r="BS55" s="1"/>
      <c r="BT55" s="1"/>
      <c r="CU55" s="30">
        <f t="shared" si="27"/>
        <v>2010</v>
      </c>
      <c r="CW55">
        <v>0.55000000000000004</v>
      </c>
      <c r="CZ55">
        <v>0.84</v>
      </c>
      <c r="DB55">
        <f t="shared" si="40"/>
        <v>1.0027008777852804</v>
      </c>
      <c r="DE55">
        <f t="shared" si="40"/>
        <v>0.8943217665615143</v>
      </c>
      <c r="DG55" s="30">
        <f t="shared" si="28"/>
        <v>2010</v>
      </c>
      <c r="DI55">
        <v>6.2553522284898605E-2</v>
      </c>
      <c r="DJ55">
        <v>0.154491335521873</v>
      </c>
      <c r="DL55">
        <f t="shared" si="39"/>
        <v>0.73955093128704275</v>
      </c>
      <c r="DM55">
        <f t="shared" si="38"/>
        <v>0.77667046885138191</v>
      </c>
    </row>
    <row r="56" spans="58:117"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1"/>
      <c r="BR56" s="1"/>
      <c r="BS56" s="1"/>
      <c r="BT56" s="1"/>
      <c r="CU56" s="30">
        <f t="shared" si="27"/>
        <v>2011</v>
      </c>
      <c r="CW56">
        <v>0.34</v>
      </c>
      <c r="CZ56">
        <v>0.57999999999999996</v>
      </c>
      <c r="DB56">
        <f t="shared" si="40"/>
        <v>0.61985145172180967</v>
      </c>
      <c r="DE56">
        <f t="shared" si="40"/>
        <v>0.61750788643533128</v>
      </c>
      <c r="DG56" s="30">
        <f t="shared" si="28"/>
        <v>2011</v>
      </c>
      <c r="DI56">
        <v>6.6636750924168694E-2</v>
      </c>
      <c r="DJ56">
        <v>0.15193976195143399</v>
      </c>
      <c r="DL56">
        <f t="shared" si="39"/>
        <v>0.78782567957502414</v>
      </c>
      <c r="DM56">
        <f t="shared" si="38"/>
        <v>0.76384300616833012</v>
      </c>
    </row>
    <row r="57" spans="58:117"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1"/>
      <c r="BR57" s="1"/>
      <c r="BS57" s="1"/>
      <c r="BT57" s="1"/>
      <c r="CU57" s="30">
        <f t="shared" si="27"/>
        <v>2012</v>
      </c>
      <c r="CW57">
        <v>0.45</v>
      </c>
      <c r="CZ57">
        <v>0.67</v>
      </c>
      <c r="DB57">
        <f t="shared" si="40"/>
        <v>0.82039162727886561</v>
      </c>
      <c r="DE57">
        <f t="shared" si="40"/>
        <v>0.7133280757097793</v>
      </c>
      <c r="DG57" s="30">
        <f t="shared" si="28"/>
        <v>2012</v>
      </c>
      <c r="DI57">
        <v>6.5112157510196902E-2</v>
      </c>
      <c r="DJ57">
        <v>0.16068141182922899</v>
      </c>
      <c r="DL57">
        <f t="shared" si="39"/>
        <v>0.7698008835611132</v>
      </c>
      <c r="DM57">
        <f t="shared" si="38"/>
        <v>0.80778968632477433</v>
      </c>
    </row>
    <row r="58" spans="58:117"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1"/>
      <c r="BR58" s="1"/>
      <c r="BS58" s="1"/>
      <c r="BT58" s="1"/>
      <c r="CU58" s="30">
        <f t="shared" si="27"/>
        <v>2013</v>
      </c>
      <c r="CW58">
        <v>0.48</v>
      </c>
      <c r="CZ58">
        <v>0.75</v>
      </c>
      <c r="DB58">
        <f t="shared" si="40"/>
        <v>0.87508440243079</v>
      </c>
      <c r="DE58">
        <f t="shared" si="40"/>
        <v>0.79850157728706639</v>
      </c>
      <c r="DG58" s="30">
        <f t="shared" si="28"/>
        <v>2013</v>
      </c>
      <c r="DI58">
        <v>8.9232945480996806E-2</v>
      </c>
      <c r="DJ58">
        <v>0.22246191958877401</v>
      </c>
      <c r="DL58">
        <f t="shared" si="39"/>
        <v>1.0549734934412904</v>
      </c>
      <c r="DM58">
        <f t="shared" si="38"/>
        <v>1.1183773044937479</v>
      </c>
    </row>
    <row r="59" spans="58:117"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1"/>
      <c r="BR59" s="1"/>
      <c r="BS59" s="1"/>
      <c r="BT59" s="1"/>
      <c r="CU59" s="30">
        <f t="shared" si="27"/>
        <v>2014</v>
      </c>
      <c r="CW59">
        <v>0.6</v>
      </c>
      <c r="CZ59">
        <v>0.84</v>
      </c>
      <c r="DB59">
        <f t="shared" si="40"/>
        <v>1.0938555030384876</v>
      </c>
      <c r="DE59">
        <f t="shared" si="40"/>
        <v>0.8943217665615143</v>
      </c>
      <c r="DG59" s="30">
        <f t="shared" si="28"/>
        <v>2014</v>
      </c>
      <c r="DI59">
        <v>7.2176905636712793E-2</v>
      </c>
      <c r="DJ59">
        <v>0.16892338374146501</v>
      </c>
      <c r="DL59">
        <f t="shared" si="39"/>
        <v>0.85332521385345472</v>
      </c>
      <c r="DM59">
        <f t="shared" si="38"/>
        <v>0.84922434780732703</v>
      </c>
    </row>
    <row r="60" spans="58:117"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1"/>
      <c r="BR60" s="1"/>
      <c r="BS60" s="1"/>
      <c r="BT60" s="1"/>
      <c r="CU60" s="30">
        <f t="shared" si="27"/>
        <v>2015</v>
      </c>
      <c r="CW60">
        <v>0.57999999999999996</v>
      </c>
      <c r="CZ60">
        <v>1.1000000000000001</v>
      </c>
      <c r="DB60">
        <f t="shared" si="40"/>
        <v>1.0573936529372046</v>
      </c>
      <c r="DE60">
        <f t="shared" si="40"/>
        <v>1.1711356466876974</v>
      </c>
      <c r="DG60" s="30">
        <f t="shared" si="28"/>
        <v>2015</v>
      </c>
      <c r="DI60">
        <v>7.5122235573402599E-2</v>
      </c>
      <c r="DJ60">
        <v>0.20969281323614999</v>
      </c>
      <c r="DL60">
        <f t="shared" si="39"/>
        <v>0.88814693800362954</v>
      </c>
      <c r="DM60">
        <f t="shared" si="38"/>
        <v>1.0541834920433302</v>
      </c>
    </row>
    <row r="61" spans="58:117"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1"/>
      <c r="BR61" s="1"/>
      <c r="BS61" s="1"/>
      <c r="BT61" s="1"/>
      <c r="CU61" s="30">
        <f t="shared" si="27"/>
        <v>2016</v>
      </c>
      <c r="CW61">
        <v>0.63</v>
      </c>
      <c r="CZ61">
        <v>0.99</v>
      </c>
      <c r="DB61">
        <f t="shared" si="40"/>
        <v>1.1485482781904119</v>
      </c>
      <c r="DE61">
        <f t="shared" si="40"/>
        <v>1.0540220820189277</v>
      </c>
      <c r="DG61" s="30">
        <f t="shared" si="28"/>
        <v>2016</v>
      </c>
      <c r="DI61">
        <v>7.7619734598966303E-2</v>
      </c>
      <c r="DJ61">
        <v>0.211284429560672</v>
      </c>
      <c r="DL61">
        <f t="shared" si="39"/>
        <v>0.91767409591221016</v>
      </c>
      <c r="DM61">
        <f t="shared" si="38"/>
        <v>1.0621849854139602</v>
      </c>
    </row>
    <row r="62" spans="58:117"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1"/>
      <c r="BR62" s="1"/>
      <c r="BS62" s="1"/>
      <c r="BT62" s="1"/>
      <c r="CU62" s="30">
        <f t="shared" si="27"/>
        <v>2017</v>
      </c>
      <c r="CW62">
        <v>0.72</v>
      </c>
      <c r="CZ62">
        <v>0.92</v>
      </c>
      <c r="DB62">
        <f t="shared" si="40"/>
        <v>1.3126266036461849</v>
      </c>
      <c r="DE62">
        <f t="shared" si="40"/>
        <v>0.97949526813880139</v>
      </c>
      <c r="DG62" s="30">
        <f t="shared" si="28"/>
        <v>2017</v>
      </c>
      <c r="DI62">
        <v>7.1662088885260794E-2</v>
      </c>
      <c r="DJ62">
        <v>0.18151495483112501</v>
      </c>
      <c r="DL62">
        <f t="shared" si="39"/>
        <v>0.84723869475634528</v>
      </c>
      <c r="DM62">
        <f t="shared" si="38"/>
        <v>0.91252564162258532</v>
      </c>
    </row>
    <row r="63" spans="58:117"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1"/>
      <c r="BR63" s="1"/>
      <c r="BS63" s="1"/>
      <c r="BT63" s="1"/>
      <c r="CU63" s="30">
        <f t="shared" si="27"/>
        <v>2018</v>
      </c>
      <c r="CW63">
        <v>0.67</v>
      </c>
      <c r="CZ63">
        <v>0.57999999999999996</v>
      </c>
      <c r="DB63">
        <f t="shared" si="40"/>
        <v>1.2214719783929777</v>
      </c>
      <c r="DE63">
        <f t="shared" si="40"/>
        <v>0.61750788643533128</v>
      </c>
      <c r="DG63" s="30">
        <f t="shared" si="28"/>
        <v>2018</v>
      </c>
      <c r="DI63">
        <v>6.3007316196940902E-2</v>
      </c>
      <c r="DJ63">
        <v>0.21079967233105301</v>
      </c>
      <c r="DL63">
        <f t="shared" si="39"/>
        <v>0.74491599624269411</v>
      </c>
      <c r="DM63">
        <f t="shared" si="38"/>
        <v>1.0597479773867109</v>
      </c>
    </row>
    <row r="64" spans="58:117"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1"/>
      <c r="BR64" s="1"/>
      <c r="BS64" s="1"/>
      <c r="BT64" s="1"/>
      <c r="CU64" s="30">
        <f t="shared" si="27"/>
        <v>2019</v>
      </c>
      <c r="CW64">
        <v>0.71</v>
      </c>
      <c r="CZ64">
        <v>0.72</v>
      </c>
      <c r="DB64">
        <f t="shared" si="40"/>
        <v>1.2943956785955435</v>
      </c>
      <c r="DE64">
        <f t="shared" si="40"/>
        <v>0.76656151419558372</v>
      </c>
      <c r="DG64" s="30">
        <f t="shared" si="28"/>
        <v>2019</v>
      </c>
      <c r="DI64">
        <v>6.0309158355417801E-2</v>
      </c>
      <c r="DJ64">
        <v>0.17868312177885901</v>
      </c>
      <c r="DL64">
        <f t="shared" si="39"/>
        <v>0.71301651126453858</v>
      </c>
      <c r="DM64">
        <f t="shared" si="38"/>
        <v>0.89828923738034949</v>
      </c>
    </row>
    <row r="65" spans="58:117"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1"/>
      <c r="BR65" s="1"/>
      <c r="BS65" s="1"/>
      <c r="BT65" s="1"/>
      <c r="CU65" s="30">
        <f t="shared" si="27"/>
        <v>2020</v>
      </c>
      <c r="CW65">
        <v>0.78</v>
      </c>
      <c r="CZ65">
        <v>0.86</v>
      </c>
      <c r="DB65">
        <f t="shared" si="40"/>
        <v>1.4220121539500339</v>
      </c>
      <c r="DE65">
        <f t="shared" si="40"/>
        <v>0.91561514195583604</v>
      </c>
      <c r="DG65" s="30">
        <f t="shared" si="28"/>
        <v>2020</v>
      </c>
      <c r="DI65">
        <v>7.0245011526495399E-2</v>
      </c>
      <c r="DJ65">
        <v>0.23849026588515601</v>
      </c>
      <c r="DL65">
        <f t="shared" si="39"/>
        <v>0.83048502778284328</v>
      </c>
      <c r="DM65">
        <f t="shared" si="38"/>
        <v>1.1989562132776701</v>
      </c>
    </row>
    <row r="66" spans="58:117"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1"/>
      <c r="BR66" s="1"/>
      <c r="BS66" s="1"/>
      <c r="BT66" s="1"/>
      <c r="CU66" s="30">
        <f t="shared" si="27"/>
        <v>2021</v>
      </c>
      <c r="CZ66">
        <v>0.62</v>
      </c>
      <c r="DE66">
        <f t="shared" ref="DE66:DE69" si="41">+CZ66/CZ$71</f>
        <v>0.66009463722397488</v>
      </c>
      <c r="DG66" s="30">
        <f t="shared" si="28"/>
        <v>2021</v>
      </c>
      <c r="DJ66">
        <v>0.37496516967034799</v>
      </c>
      <c r="DM66">
        <f t="shared" si="38"/>
        <v>1.8850531205976619</v>
      </c>
    </row>
    <row r="67" spans="58:117"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1"/>
      <c r="BR67" s="1"/>
      <c r="BS67" s="1"/>
      <c r="BT67" s="1"/>
      <c r="BU67" s="32"/>
      <c r="BW67" s="32"/>
      <c r="BY67" s="32"/>
      <c r="BZ67" s="32"/>
      <c r="CA67" s="32"/>
      <c r="CC67" s="32"/>
      <c r="CU67" s="30">
        <f t="shared" si="27"/>
        <v>2022</v>
      </c>
      <c r="CZ67">
        <v>0.54</v>
      </c>
      <c r="DE67">
        <f t="shared" si="41"/>
        <v>0.57492113564668779</v>
      </c>
      <c r="DG67" s="30">
        <f t="shared" si="28"/>
        <v>2022</v>
      </c>
      <c r="DJ67">
        <v>0.33888995236895098</v>
      </c>
      <c r="DM67">
        <f t="shared" si="38"/>
        <v>1.7036930731830637</v>
      </c>
    </row>
    <row r="68" spans="58:117"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W68" s="1"/>
      <c r="BY68" s="1"/>
      <c r="BZ68" s="1"/>
      <c r="CA68" s="1"/>
      <c r="CC68" s="1"/>
      <c r="CU68" s="30">
        <f t="shared" si="27"/>
        <v>2023</v>
      </c>
      <c r="CZ68">
        <v>0.93</v>
      </c>
      <c r="DE68">
        <f t="shared" si="41"/>
        <v>0.99014195583596232</v>
      </c>
      <c r="DG68" s="30">
        <f t="shared" si="28"/>
        <v>2023</v>
      </c>
      <c r="DJ68">
        <v>0.30117700880060999</v>
      </c>
      <c r="DM68">
        <f t="shared" si="38"/>
        <v>1.5140997250250881</v>
      </c>
    </row>
    <row r="69" spans="58:117">
      <c r="BQ69" s="1"/>
      <c r="BR69" s="1"/>
      <c r="BS69" s="1"/>
      <c r="CU69" s="30">
        <f t="shared" si="27"/>
        <v>2024</v>
      </c>
      <c r="CZ69">
        <v>1.1000000000000001</v>
      </c>
      <c r="DE69">
        <f t="shared" si="41"/>
        <v>1.1711356466876974</v>
      </c>
      <c r="DG69" s="30">
        <f t="shared" si="28"/>
        <v>2024</v>
      </c>
      <c r="DJ69">
        <v>0.33320629713097699</v>
      </c>
      <c r="DM69">
        <f t="shared" si="38"/>
        <v>1.6751197738225836</v>
      </c>
    </row>
    <row r="70" spans="58:117">
      <c r="BQ70" s="1"/>
      <c r="BR70" s="1"/>
      <c r="BS70" s="1"/>
    </row>
    <row r="71" spans="58:117">
      <c r="BQ71" s="1"/>
      <c r="BR71" s="1"/>
      <c r="BS71" s="1"/>
      <c r="CU71" t="s">
        <v>38</v>
      </c>
      <c r="CV71">
        <f>+AVERAGE(CV21:CV34)</f>
        <v>1.2678571428571428</v>
      </c>
      <c r="CW71">
        <f>+AVERAGE(CW39:CW65)</f>
        <v>0.54851851851851852</v>
      </c>
      <c r="CX71">
        <f>+AVERAGE(CX7:CX20)</f>
        <v>0.99857142857142878</v>
      </c>
      <c r="CY71">
        <f>+AVERAGE(CY21:CY34)</f>
        <v>0.9821428571428571</v>
      </c>
      <c r="CZ71">
        <f>+AVERAGE(CZ39:CZ65)</f>
        <v>0.93925925925925913</v>
      </c>
      <c r="DG71" t="s">
        <v>38</v>
      </c>
      <c r="DH71">
        <f>+AVERAGE(DH13:DH35)</f>
        <v>7.6100040334677807E-2</v>
      </c>
      <c r="DI71">
        <f>+AVERAGE(DI43:DI65)</f>
        <v>8.4583116102682099E-2</v>
      </c>
      <c r="DJ71">
        <f>+AVERAGE(DJ43:DJ65)</f>
        <v>0.1989149088549102</v>
      </c>
    </row>
    <row r="72" spans="58:117">
      <c r="BQ72" s="1"/>
      <c r="BR72" s="1"/>
      <c r="BS72" s="1"/>
    </row>
    <row r="73" spans="58:117">
      <c r="BQ73" s="1"/>
      <c r="BR73" s="1"/>
      <c r="BS73" s="1"/>
    </row>
    <row r="74" spans="58:117">
      <c r="BQ74" s="1"/>
      <c r="BR74" s="1"/>
      <c r="BS74" s="1"/>
    </row>
    <row r="75" spans="58:117">
      <c r="BQ75" s="1"/>
      <c r="BR75" s="1"/>
      <c r="BS75" s="1"/>
    </row>
    <row r="76" spans="58:117">
      <c r="BQ76" s="1"/>
      <c r="BR76" s="1"/>
      <c r="BS76" s="1"/>
    </row>
    <row r="77" spans="58:117">
      <c r="BQ77" s="1"/>
      <c r="BR77" s="1"/>
      <c r="BS77" s="1"/>
    </row>
    <row r="78" spans="58:117">
      <c r="BQ78" s="1"/>
      <c r="BR78" s="1"/>
      <c r="BS78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R153"/>
  <sheetViews>
    <sheetView topLeftCell="Q1" workbookViewId="0">
      <selection activeCell="AN4" sqref="AN4"/>
    </sheetView>
  </sheetViews>
  <sheetFormatPr defaultRowHeight="15"/>
  <cols>
    <col min="36" max="36" width="14" style="12" customWidth="1"/>
    <col min="37" max="38" width="8.42578125" style="12" customWidth="1"/>
    <col min="40" max="40" width="14" style="12" customWidth="1"/>
    <col min="41" max="44" width="8.42578125" style="12" customWidth="1"/>
  </cols>
  <sheetData>
    <row r="1" spans="3:44">
      <c r="AJ1" s="16" t="s">
        <v>71</v>
      </c>
      <c r="AK1" s="15"/>
      <c r="AL1" s="15"/>
      <c r="AN1" s="16" t="s">
        <v>71</v>
      </c>
      <c r="AO1" s="139"/>
      <c r="AP1" s="139"/>
      <c r="AQ1" s="139"/>
      <c r="AR1" s="139"/>
    </row>
    <row r="2" spans="3:44">
      <c r="C2" s="137" t="s">
        <v>55</v>
      </c>
      <c r="D2" s="137"/>
      <c r="L2" s="138" t="s">
        <v>77</v>
      </c>
      <c r="M2" s="138"/>
      <c r="T2" t="s">
        <v>90</v>
      </c>
      <c r="AD2" t="s">
        <v>238</v>
      </c>
      <c r="AJ2" s="33" t="s">
        <v>54</v>
      </c>
      <c r="AK2" s="126" t="s">
        <v>115</v>
      </c>
      <c r="AL2" s="126"/>
      <c r="AN2" s="33" t="s">
        <v>54</v>
      </c>
      <c r="AO2" s="15" t="s">
        <v>22</v>
      </c>
      <c r="AP2" s="29" t="s">
        <v>32</v>
      </c>
      <c r="AQ2" s="15"/>
      <c r="AR2" s="15"/>
    </row>
    <row r="3" spans="3:44">
      <c r="C3" t="s">
        <v>68</v>
      </c>
      <c r="L3" t="s">
        <v>84</v>
      </c>
      <c r="T3" t="s">
        <v>91</v>
      </c>
      <c r="AD3" t="s">
        <v>239</v>
      </c>
      <c r="AJ3" s="15"/>
      <c r="AK3" s="16">
        <f>+COUNT(AK6:AK37)</f>
        <v>31</v>
      </c>
      <c r="AL3" s="16"/>
      <c r="AN3" s="15"/>
      <c r="AO3" s="16">
        <f>+COUNT(AO14:AO77)</f>
        <v>31</v>
      </c>
      <c r="AP3" s="15"/>
      <c r="AQ3" s="16">
        <f>+COUNT(AQ14:AQ77)</f>
        <v>12</v>
      </c>
      <c r="AR3" s="16"/>
    </row>
    <row r="4" spans="3:44">
      <c r="L4" t="s">
        <v>57</v>
      </c>
      <c r="T4" t="s">
        <v>85</v>
      </c>
      <c r="AJ4" s="23" t="s">
        <v>5</v>
      </c>
      <c r="AK4" s="124" t="s">
        <v>41</v>
      </c>
      <c r="AL4" s="124"/>
      <c r="AN4" s="25" t="s">
        <v>1</v>
      </c>
      <c r="AO4" s="126" t="s">
        <v>116</v>
      </c>
      <c r="AP4" s="126"/>
      <c r="AQ4" s="126" t="s">
        <v>117</v>
      </c>
      <c r="AR4" s="126"/>
    </row>
    <row r="5" spans="3:44">
      <c r="C5" t="s">
        <v>57</v>
      </c>
      <c r="AJ5" s="28" t="s">
        <v>6</v>
      </c>
      <c r="AK5" s="24" t="s">
        <v>20</v>
      </c>
      <c r="AL5" s="24" t="s">
        <v>0</v>
      </c>
      <c r="AN5" s="26" t="s">
        <v>75</v>
      </c>
      <c r="AO5" s="132"/>
      <c r="AP5" s="132"/>
      <c r="AQ5" s="132"/>
      <c r="AR5" s="132"/>
    </row>
    <row r="6" spans="3:44">
      <c r="AJ6" s="27">
        <v>1994</v>
      </c>
      <c r="AK6" s="39">
        <v>1.0940000000000001</v>
      </c>
      <c r="AL6" s="39">
        <v>9.1999999999999998E-2</v>
      </c>
      <c r="AN6" s="26" t="s">
        <v>76</v>
      </c>
      <c r="AO6" s="132"/>
      <c r="AP6" s="132"/>
      <c r="AQ6" s="132"/>
      <c r="AR6" s="132"/>
    </row>
    <row r="7" spans="3:44">
      <c r="C7" t="s">
        <v>59</v>
      </c>
      <c r="D7" t="s">
        <v>60</v>
      </c>
      <c r="E7" t="s">
        <v>61</v>
      </c>
      <c r="F7" t="s">
        <v>62</v>
      </c>
      <c r="G7" t="s">
        <v>63</v>
      </c>
      <c r="H7" s="47" t="s">
        <v>0</v>
      </c>
      <c r="L7" t="s">
        <v>6</v>
      </c>
      <c r="M7" t="s">
        <v>80</v>
      </c>
      <c r="N7" t="s">
        <v>81</v>
      </c>
      <c r="O7" t="s">
        <v>82</v>
      </c>
      <c r="P7" t="s">
        <v>83</v>
      </c>
      <c r="Q7" t="s">
        <v>0</v>
      </c>
      <c r="T7" t="s">
        <v>6</v>
      </c>
      <c r="U7" t="s">
        <v>88</v>
      </c>
      <c r="V7" t="s">
        <v>87</v>
      </c>
      <c r="W7" t="s">
        <v>86</v>
      </c>
      <c r="Y7" t="s">
        <v>94</v>
      </c>
      <c r="Z7" t="s">
        <v>92</v>
      </c>
      <c r="AD7" s="70" t="s">
        <v>234</v>
      </c>
      <c r="AE7" s="70" t="s">
        <v>235</v>
      </c>
      <c r="AF7" s="70" t="s">
        <v>236</v>
      </c>
      <c r="AG7" s="70" t="s">
        <v>237</v>
      </c>
      <c r="AH7" s="70" t="s">
        <v>0</v>
      </c>
      <c r="AI7" s="71"/>
      <c r="AJ7" s="27">
        <v>1995</v>
      </c>
      <c r="AK7" s="39">
        <v>1.425</v>
      </c>
      <c r="AL7" s="39">
        <v>7.0999999999999994E-2</v>
      </c>
      <c r="AN7" s="23" t="s">
        <v>16</v>
      </c>
      <c r="AO7" s="130"/>
      <c r="AP7" s="130"/>
      <c r="AQ7" s="136"/>
      <c r="AR7" s="136"/>
    </row>
    <row r="8" spans="3:44">
      <c r="C8">
        <v>1988</v>
      </c>
      <c r="D8">
        <v>128.57499999999999</v>
      </c>
      <c r="E8">
        <v>23.690999999999999</v>
      </c>
      <c r="F8">
        <v>89.601600000000005</v>
      </c>
      <c r="G8">
        <v>184.50040000000001</v>
      </c>
      <c r="H8" s="47">
        <f t="shared" ref="H8:H44" si="0">+E8/D8</f>
        <v>0.18425821504958195</v>
      </c>
      <c r="L8">
        <v>2012</v>
      </c>
      <c r="M8">
        <v>111.2</v>
      </c>
      <c r="N8">
        <v>154.80600000000001</v>
      </c>
      <c r="O8">
        <v>79.876000000000005</v>
      </c>
      <c r="P8">
        <v>159.02199999999999</v>
      </c>
      <c r="Q8" s="46">
        <v>0.04</v>
      </c>
      <c r="T8">
        <v>2010</v>
      </c>
      <c r="U8">
        <v>9.0764911505772095E-3</v>
      </c>
      <c r="V8">
        <v>8.1441883883083405E-3</v>
      </c>
      <c r="W8">
        <v>1.01867205138182E-2</v>
      </c>
      <c r="Y8">
        <f>+U8*1000</f>
        <v>9.0764911505772101</v>
      </c>
      <c r="Z8">
        <f>(W8-V8)/(4*U8)</f>
        <v>5.6258858506680928E-2</v>
      </c>
      <c r="AD8" s="71">
        <v>1994</v>
      </c>
      <c r="AE8" s="72">
        <v>9.0141817300505895</v>
      </c>
      <c r="AF8" s="72">
        <v>0.14684955477499501</v>
      </c>
      <c r="AG8" s="72">
        <v>9.6784010011671597</v>
      </c>
      <c r="AH8" s="72">
        <v>4.60674070548069E-2</v>
      </c>
      <c r="AI8" s="71"/>
      <c r="AJ8" s="27">
        <v>1996</v>
      </c>
      <c r="AK8" s="39">
        <v>1.726</v>
      </c>
      <c r="AL8" s="39">
        <v>5.7999999999999996E-2</v>
      </c>
      <c r="AN8" s="23" t="s">
        <v>8</v>
      </c>
      <c r="AO8" s="130" t="s">
        <v>10</v>
      </c>
      <c r="AP8" s="130"/>
      <c r="AQ8" s="130" t="s">
        <v>9</v>
      </c>
      <c r="AR8" s="130"/>
    </row>
    <row r="9" spans="3:44">
      <c r="C9">
        <v>1989</v>
      </c>
      <c r="D9">
        <v>115.4062</v>
      </c>
      <c r="E9">
        <v>33.831000000000003</v>
      </c>
      <c r="F9">
        <v>64.968400000000003</v>
      </c>
      <c r="G9">
        <v>205.00110000000001</v>
      </c>
      <c r="H9" s="47">
        <f t="shared" si="0"/>
        <v>0.29314716193757356</v>
      </c>
      <c r="L9">
        <v>2013</v>
      </c>
      <c r="M9">
        <v>155.75700000000001</v>
      </c>
      <c r="N9">
        <v>206.833</v>
      </c>
      <c r="O9">
        <v>117.294</v>
      </c>
      <c r="P9">
        <v>195.62700000000001</v>
      </c>
      <c r="Q9" s="46">
        <v>0.03</v>
      </c>
      <c r="T9">
        <v>2011</v>
      </c>
      <c r="U9">
        <v>7.8296923028120403E-3</v>
      </c>
      <c r="V9">
        <v>7.2127981275571804E-3</v>
      </c>
      <c r="W9">
        <v>8.5049081320329404E-3</v>
      </c>
      <c r="Y9">
        <f t="shared" ref="Y9:Y21" si="1">+U9*1000</f>
        <v>7.82969230281204</v>
      </c>
      <c r="Z9">
        <f t="shared" ref="Z9:Z21" si="2">(W9-V9)/(4*U9)</f>
        <v>4.1256729974295976E-2</v>
      </c>
      <c r="AD9" s="71">
        <v>1995</v>
      </c>
      <c r="AE9" s="72">
        <v>7.5631639487014199</v>
      </c>
      <c r="AF9" s="72">
        <v>0.116062184287114</v>
      </c>
      <c r="AG9" s="72">
        <v>8.4363387777439307</v>
      </c>
      <c r="AH9" s="72">
        <v>4.5066153143650298E-2</v>
      </c>
      <c r="AI9" s="71"/>
      <c r="AJ9" s="27">
        <v>1997</v>
      </c>
      <c r="AK9" s="39">
        <v>1.605</v>
      </c>
      <c r="AL9" s="39">
        <v>6.3E-2</v>
      </c>
      <c r="AN9" s="23" t="s">
        <v>2</v>
      </c>
      <c r="AO9" s="130" t="s">
        <v>18</v>
      </c>
      <c r="AP9" s="130"/>
      <c r="AQ9" s="130" t="s">
        <v>18</v>
      </c>
      <c r="AR9" s="130"/>
    </row>
    <row r="10" spans="3:44">
      <c r="C10">
        <v>1990</v>
      </c>
      <c r="D10">
        <v>122.1755</v>
      </c>
      <c r="E10">
        <v>32.349899999999998</v>
      </c>
      <c r="F10">
        <v>72.711100000000002</v>
      </c>
      <c r="G10">
        <v>205.28989999999999</v>
      </c>
      <c r="H10" s="47">
        <f t="shared" si="0"/>
        <v>0.26478221902099847</v>
      </c>
      <c r="L10">
        <v>2014</v>
      </c>
      <c r="M10">
        <v>77.266000000000005</v>
      </c>
      <c r="N10">
        <v>106.08</v>
      </c>
      <c r="O10">
        <v>56.279000000000003</v>
      </c>
      <c r="P10">
        <v>126.916</v>
      </c>
      <c r="Q10" s="46">
        <v>0.04</v>
      </c>
      <c r="T10">
        <v>2012</v>
      </c>
      <c r="U10">
        <v>6.1477463424609597E-3</v>
      </c>
      <c r="V10">
        <v>5.6461576113511699E-3</v>
      </c>
      <c r="W10">
        <v>6.6953149293312603E-3</v>
      </c>
      <c r="Y10">
        <f t="shared" si="1"/>
        <v>6.1477463424609597</v>
      </c>
      <c r="Z10">
        <f t="shared" si="2"/>
        <v>4.2664305728337432E-2</v>
      </c>
      <c r="AD10" s="71">
        <v>1996</v>
      </c>
      <c r="AE10" s="72">
        <v>12.890185594721499</v>
      </c>
      <c r="AF10" s="72">
        <v>0.193929758066688</v>
      </c>
      <c r="AG10" s="72">
        <v>9.1710564131821002</v>
      </c>
      <c r="AH10" s="72">
        <v>4.4391556610748298E-2</v>
      </c>
      <c r="AI10" s="71"/>
      <c r="AJ10" s="27">
        <v>1998</v>
      </c>
      <c r="AK10" s="39">
        <v>1.347</v>
      </c>
      <c r="AL10" s="39">
        <v>7.4999999999999997E-2</v>
      </c>
      <c r="AN10" s="23" t="s">
        <v>3</v>
      </c>
      <c r="AO10" s="125" t="s">
        <v>7</v>
      </c>
      <c r="AP10" s="125"/>
      <c r="AQ10" s="125" t="s">
        <v>7</v>
      </c>
      <c r="AR10" s="125"/>
    </row>
    <row r="11" spans="3:44">
      <c r="C11">
        <v>1991</v>
      </c>
      <c r="D11">
        <v>86.7179</v>
      </c>
      <c r="E11">
        <v>15.8536</v>
      </c>
      <c r="F11">
        <v>60.602899999999998</v>
      </c>
      <c r="G11">
        <v>124.08629999999999</v>
      </c>
      <c r="H11" s="47">
        <f t="shared" si="0"/>
        <v>0.18281808023487653</v>
      </c>
      <c r="L11">
        <v>2015</v>
      </c>
      <c r="M11">
        <v>88.18</v>
      </c>
      <c r="N11">
        <v>131.27000000000001</v>
      </c>
      <c r="O11">
        <v>59.234000000000002</v>
      </c>
      <c r="P11">
        <v>107.80800000000001</v>
      </c>
      <c r="Q11" s="46">
        <v>0.05</v>
      </c>
      <c r="T11">
        <v>2013</v>
      </c>
      <c r="U11">
        <v>5.9399321098912699E-3</v>
      </c>
      <c r="V11">
        <v>5.4065910864291196E-3</v>
      </c>
      <c r="W11">
        <v>6.52974733199222E-3</v>
      </c>
      <c r="Y11">
        <f t="shared" si="1"/>
        <v>5.9399321098912701</v>
      </c>
      <c r="Z11">
        <f t="shared" si="2"/>
        <v>4.7271426035863387E-2</v>
      </c>
      <c r="AD11" s="71">
        <v>1997</v>
      </c>
      <c r="AE11" s="72">
        <v>7.9059668911940904</v>
      </c>
      <c r="AF11" s="72">
        <v>0.11719508410330701</v>
      </c>
      <c r="AG11" s="72">
        <v>7.59443790805964</v>
      </c>
      <c r="AH11" s="72">
        <v>4.4500325315238502E-2</v>
      </c>
      <c r="AI11" s="71"/>
      <c r="AJ11" s="27">
        <v>1999</v>
      </c>
      <c r="AK11" s="39">
        <v>1.05</v>
      </c>
      <c r="AL11" s="39">
        <v>9.6000000000000002E-2</v>
      </c>
      <c r="AN11" s="23" t="s">
        <v>4</v>
      </c>
      <c r="AO11" s="124" t="s">
        <v>12</v>
      </c>
      <c r="AP11" s="124"/>
      <c r="AQ11" s="124" t="s">
        <v>12</v>
      </c>
      <c r="AR11" s="124"/>
    </row>
    <row r="12" spans="3:44">
      <c r="C12">
        <v>1992</v>
      </c>
      <c r="D12">
        <v>74.2483</v>
      </c>
      <c r="E12">
        <v>13.5748</v>
      </c>
      <c r="F12">
        <v>51.887300000000003</v>
      </c>
      <c r="G12">
        <v>106.2458</v>
      </c>
      <c r="H12" s="47">
        <f t="shared" si="0"/>
        <v>0.18282977522717692</v>
      </c>
      <c r="L12">
        <v>2016</v>
      </c>
      <c r="M12">
        <v>87.317999999999998</v>
      </c>
      <c r="N12">
        <v>136.67699999999999</v>
      </c>
      <c r="O12">
        <v>55.784999999999997</v>
      </c>
      <c r="P12">
        <v>115.75700000000001</v>
      </c>
      <c r="Q12" s="46">
        <v>0.05</v>
      </c>
      <c r="T12">
        <v>2014</v>
      </c>
      <c r="U12">
        <v>9.63988300708527E-3</v>
      </c>
      <c r="V12">
        <v>8.7986365234163505E-3</v>
      </c>
      <c r="W12">
        <v>1.05616348706389E-2</v>
      </c>
      <c r="Y12">
        <f t="shared" si="1"/>
        <v>9.6398830070852703</v>
      </c>
      <c r="Z12">
        <f t="shared" si="2"/>
        <v>4.5721466378968331E-2</v>
      </c>
      <c r="AD12" s="71">
        <v>1998</v>
      </c>
      <c r="AE12" s="72">
        <v>6.2614692897740598</v>
      </c>
      <c r="AF12" s="72">
        <v>9.3310056140073303E-2</v>
      </c>
      <c r="AG12" s="72">
        <v>8.7230603392698001</v>
      </c>
      <c r="AH12" s="72">
        <v>4.4656585806474698E-2</v>
      </c>
      <c r="AI12" s="71"/>
      <c r="AJ12" s="27">
        <v>2000</v>
      </c>
      <c r="AK12" s="39">
        <v>0.96</v>
      </c>
      <c r="AL12" s="39">
        <v>0.105</v>
      </c>
      <c r="AN12" s="23" t="s">
        <v>5</v>
      </c>
      <c r="AO12" s="124" t="s">
        <v>21</v>
      </c>
      <c r="AP12" s="124"/>
      <c r="AQ12" s="124" t="s">
        <v>13</v>
      </c>
      <c r="AR12" s="124"/>
    </row>
    <row r="13" spans="3:44">
      <c r="C13">
        <v>1993</v>
      </c>
      <c r="D13">
        <v>98.033900000000003</v>
      </c>
      <c r="E13">
        <v>17.819700000000001</v>
      </c>
      <c r="F13">
        <v>68.651899999999998</v>
      </c>
      <c r="G13">
        <v>139.99090000000001</v>
      </c>
      <c r="H13" s="47">
        <f t="shared" si="0"/>
        <v>0.18177079561253812</v>
      </c>
      <c r="L13">
        <v>2017</v>
      </c>
      <c r="M13">
        <v>57.423999999999999</v>
      </c>
      <c r="N13">
        <v>72.778000000000006</v>
      </c>
      <c r="O13">
        <v>45.308</v>
      </c>
      <c r="P13">
        <v>68.903999999999996</v>
      </c>
      <c r="Q13" s="46">
        <v>0.03</v>
      </c>
      <c r="T13">
        <v>2015</v>
      </c>
      <c r="U13">
        <v>5.4415708911858601E-3</v>
      </c>
      <c r="V13">
        <v>4.9114268530856897E-3</v>
      </c>
      <c r="W13">
        <v>6.0330543211307604E-3</v>
      </c>
      <c r="Y13">
        <f t="shared" si="1"/>
        <v>5.4415708911858598</v>
      </c>
      <c r="Z13">
        <f t="shared" si="2"/>
        <v>5.153049966976718E-2</v>
      </c>
      <c r="AD13" s="71">
        <v>1999</v>
      </c>
      <c r="AE13" s="72">
        <v>5.4874358685693698</v>
      </c>
      <c r="AF13" s="72">
        <v>7.7460051328602703E-2</v>
      </c>
      <c r="AG13" s="72">
        <v>6.1909224785880603</v>
      </c>
      <c r="AH13" s="72">
        <v>4.3953254073816603E-2</v>
      </c>
      <c r="AI13" s="71"/>
      <c r="AJ13" s="27">
        <v>2001</v>
      </c>
      <c r="AK13" s="39">
        <v>0.84899999999999998</v>
      </c>
      <c r="AL13" s="39">
        <v>0.11900000000000001</v>
      </c>
      <c r="AN13" s="28" t="s">
        <v>6</v>
      </c>
      <c r="AO13" s="24" t="s">
        <v>20</v>
      </c>
      <c r="AP13" s="24" t="s">
        <v>0</v>
      </c>
      <c r="AQ13" s="24" t="s">
        <v>20</v>
      </c>
      <c r="AR13" s="24" t="s">
        <v>0</v>
      </c>
    </row>
    <row r="14" spans="3:44">
      <c r="C14">
        <v>1994</v>
      </c>
      <c r="D14">
        <v>119.9387</v>
      </c>
      <c r="E14">
        <v>21.724900000000002</v>
      </c>
      <c r="F14">
        <v>84.096500000000006</v>
      </c>
      <c r="G14">
        <v>171.05680000000001</v>
      </c>
      <c r="H14" s="47">
        <f t="shared" si="0"/>
        <v>0.18113336229257113</v>
      </c>
      <c r="L14">
        <v>2018</v>
      </c>
      <c r="M14">
        <v>63.628999999999998</v>
      </c>
      <c r="N14">
        <v>81.406000000000006</v>
      </c>
      <c r="O14">
        <v>49.734999999999999</v>
      </c>
      <c r="P14">
        <v>84.548000000000002</v>
      </c>
      <c r="Q14" s="46">
        <v>0.03</v>
      </c>
      <c r="T14">
        <v>2016</v>
      </c>
      <c r="U14">
        <v>8.1003311386557801E-3</v>
      </c>
      <c r="V14">
        <v>7.3120191092300299E-3</v>
      </c>
      <c r="W14">
        <v>8.9836769335104507E-3</v>
      </c>
      <c r="Y14">
        <f t="shared" si="1"/>
        <v>8.1003311386557808</v>
      </c>
      <c r="Z14">
        <f t="shared" si="2"/>
        <v>5.1592268132813215E-2</v>
      </c>
      <c r="AD14" s="71">
        <v>2000</v>
      </c>
      <c r="AE14" s="72">
        <v>6.0765738015328399</v>
      </c>
      <c r="AF14" s="72">
        <v>8.6760081401064199E-2</v>
      </c>
      <c r="AG14" s="72">
        <v>7.01197825404157</v>
      </c>
      <c r="AH14" s="72">
        <v>4.4003159726862001E-2</v>
      </c>
      <c r="AI14" s="71"/>
      <c r="AJ14" s="27">
        <v>2002</v>
      </c>
      <c r="AK14" s="39">
        <v>0.85199999999999998</v>
      </c>
      <c r="AL14" s="39">
        <v>0.11800000000000001</v>
      </c>
      <c r="AN14" s="27">
        <v>1962</v>
      </c>
      <c r="AO14" s="41"/>
      <c r="AP14" s="41"/>
      <c r="AQ14" s="41"/>
      <c r="AR14" s="41"/>
    </row>
    <row r="15" spans="3:44">
      <c r="C15">
        <v>1995</v>
      </c>
      <c r="D15">
        <v>94.240399999999994</v>
      </c>
      <c r="E15">
        <v>17.017700000000001</v>
      </c>
      <c r="F15">
        <v>66.149900000000002</v>
      </c>
      <c r="G15">
        <v>134.2594</v>
      </c>
      <c r="H15" s="47">
        <f t="shared" si="0"/>
        <v>0.18057754423792771</v>
      </c>
      <c r="L15">
        <v>2019</v>
      </c>
      <c r="M15">
        <v>47.145000000000003</v>
      </c>
      <c r="N15">
        <v>60.53</v>
      </c>
      <c r="O15">
        <v>36.720999999999997</v>
      </c>
      <c r="P15">
        <v>64.052000000000007</v>
      </c>
      <c r="Q15" s="46">
        <v>0.03</v>
      </c>
      <c r="T15">
        <v>2017</v>
      </c>
      <c r="U15">
        <v>6.5723788252901299E-3</v>
      </c>
      <c r="V15">
        <v>5.9917024650413299E-3</v>
      </c>
      <c r="W15">
        <v>7.2151810411787403E-3</v>
      </c>
      <c r="Y15">
        <f t="shared" si="1"/>
        <v>6.5723788252901301</v>
      </c>
      <c r="Z15">
        <f t="shared" si="2"/>
        <v>4.6538650945892539E-2</v>
      </c>
      <c r="AD15" s="71">
        <v>2001</v>
      </c>
      <c r="AE15" s="72">
        <v>5.7192619812765297</v>
      </c>
      <c r="AF15" s="72">
        <v>8.2728059005327606E-2</v>
      </c>
      <c r="AG15" s="72">
        <v>6.2507339775408903</v>
      </c>
      <c r="AH15" s="72">
        <v>4.4116977654455103E-2</v>
      </c>
      <c r="AI15" s="71"/>
      <c r="AJ15" s="27">
        <v>2003</v>
      </c>
      <c r="AK15" s="39">
        <v>1.024</v>
      </c>
      <c r="AL15" s="39">
        <v>9.8000000000000004E-2</v>
      </c>
      <c r="AN15" s="27">
        <v>1963</v>
      </c>
      <c r="AO15" s="41"/>
      <c r="AP15" s="41"/>
      <c r="AQ15" s="41"/>
      <c r="AR15" s="41"/>
    </row>
    <row r="16" spans="3:44">
      <c r="C16">
        <v>1996</v>
      </c>
      <c r="D16">
        <v>80.784000000000006</v>
      </c>
      <c r="E16">
        <v>14.650399999999999</v>
      </c>
      <c r="F16">
        <v>56.618499999999997</v>
      </c>
      <c r="G16">
        <v>115.2638</v>
      </c>
      <c r="H16" s="47">
        <f t="shared" si="0"/>
        <v>0.18135274311744898</v>
      </c>
      <c r="L16">
        <v>2020</v>
      </c>
      <c r="M16">
        <v>53.661999999999999</v>
      </c>
      <c r="N16">
        <v>69.085999999999999</v>
      </c>
      <c r="O16">
        <v>41.682000000000002</v>
      </c>
      <c r="P16">
        <v>63.029000000000003</v>
      </c>
      <c r="Q16" s="46">
        <v>0.03</v>
      </c>
      <c r="T16">
        <v>2018</v>
      </c>
      <c r="U16">
        <v>4.2250981704852397E-3</v>
      </c>
      <c r="V16">
        <v>3.7478419866453102E-3</v>
      </c>
      <c r="W16">
        <v>4.7901694605849802E-3</v>
      </c>
      <c r="Y16">
        <f t="shared" si="1"/>
        <v>4.2250981704852393</v>
      </c>
      <c r="Z16">
        <f t="shared" si="2"/>
        <v>6.1674748839028862E-2</v>
      </c>
      <c r="AD16" s="71">
        <v>2002</v>
      </c>
      <c r="AE16" s="72">
        <v>4.5557372061121404</v>
      </c>
      <c r="AF16" s="72">
        <v>6.4799479533970902E-2</v>
      </c>
      <c r="AG16" s="72">
        <v>4.6569675957958996</v>
      </c>
      <c r="AH16" s="72">
        <v>4.3790922286988901E-2</v>
      </c>
      <c r="AI16" s="71"/>
      <c r="AJ16" s="27">
        <v>2004</v>
      </c>
      <c r="AK16" s="39">
        <v>0.95299999999999996</v>
      </c>
      <c r="AL16" s="39">
        <v>0.106</v>
      </c>
      <c r="AN16" s="27">
        <v>1964</v>
      </c>
      <c r="AO16" s="41"/>
      <c r="AP16" s="41"/>
      <c r="AQ16" s="41"/>
      <c r="AR16" s="41"/>
    </row>
    <row r="17" spans="3:44">
      <c r="C17">
        <v>1997</v>
      </c>
      <c r="D17">
        <v>82.593900000000005</v>
      </c>
      <c r="E17">
        <v>15.1066</v>
      </c>
      <c r="F17">
        <v>57.711300000000001</v>
      </c>
      <c r="G17">
        <v>118.2047</v>
      </c>
      <c r="H17" s="47">
        <f t="shared" si="0"/>
        <v>0.1829021271546688</v>
      </c>
      <c r="L17">
        <v>2021</v>
      </c>
      <c r="M17">
        <v>55.356999999999999</v>
      </c>
      <c r="N17">
        <v>71.772999999999996</v>
      </c>
      <c r="O17">
        <v>42.695999999999998</v>
      </c>
      <c r="P17">
        <v>63.612000000000002</v>
      </c>
      <c r="Q17" s="46">
        <v>0.03</v>
      </c>
      <c r="T17">
        <v>2019</v>
      </c>
      <c r="U17">
        <v>5.8211541294612996E-3</v>
      </c>
      <c r="V17">
        <v>5.3651764592892301E-3</v>
      </c>
      <c r="W17">
        <v>6.3169381975466997E-3</v>
      </c>
      <c r="Y17">
        <f t="shared" si="1"/>
        <v>5.8211541294612994</v>
      </c>
      <c r="Z17">
        <f t="shared" si="2"/>
        <v>4.0875130476297296E-2</v>
      </c>
      <c r="AD17" s="71">
        <v>2003</v>
      </c>
      <c r="AE17" s="72">
        <v>4.9047930307587597</v>
      </c>
      <c r="AF17" s="72">
        <v>7.3087551449986798E-2</v>
      </c>
      <c r="AG17" s="72">
        <v>6.2041867678620104</v>
      </c>
      <c r="AH17" s="72">
        <v>4.4156992509268703E-2</v>
      </c>
      <c r="AI17" s="71"/>
      <c r="AJ17" s="27">
        <v>2005</v>
      </c>
      <c r="AK17" s="39">
        <v>1.0429999999999999</v>
      </c>
      <c r="AL17" s="39">
        <v>9.6999999999999989E-2</v>
      </c>
      <c r="AN17" s="27">
        <v>1965</v>
      </c>
      <c r="AO17" s="41"/>
      <c r="AP17" s="41"/>
      <c r="AQ17" s="41"/>
      <c r="AR17" s="41"/>
    </row>
    <row r="18" spans="3:44">
      <c r="C18">
        <v>1998</v>
      </c>
      <c r="D18">
        <v>92.999899999999997</v>
      </c>
      <c r="E18">
        <v>16.9557</v>
      </c>
      <c r="F18">
        <v>65.056700000000006</v>
      </c>
      <c r="G18">
        <v>132.94540000000001</v>
      </c>
      <c r="H18" s="47">
        <f t="shared" si="0"/>
        <v>0.18231955088123752</v>
      </c>
      <c r="L18">
        <v>2022</v>
      </c>
      <c r="M18">
        <v>57.375</v>
      </c>
      <c r="N18">
        <v>71.909000000000006</v>
      </c>
      <c r="O18">
        <v>45.779000000000003</v>
      </c>
      <c r="P18">
        <v>66.224999999999994</v>
      </c>
      <c r="Q18" s="46">
        <v>0.03</v>
      </c>
      <c r="T18">
        <v>2020</v>
      </c>
      <c r="U18">
        <v>7.2149415618604096E-3</v>
      </c>
      <c r="V18">
        <v>6.6366509609039901E-3</v>
      </c>
      <c r="W18">
        <v>7.8450471988115392E-3</v>
      </c>
      <c r="Y18">
        <f t="shared" si="1"/>
        <v>7.2149415618604094</v>
      </c>
      <c r="Z18">
        <f t="shared" si="2"/>
        <v>4.1871310652582677E-2</v>
      </c>
      <c r="AD18" s="71">
        <v>2004</v>
      </c>
      <c r="AE18" s="72">
        <v>4.1988694345746396</v>
      </c>
      <c r="AF18" s="72">
        <v>5.87061540401769E-2</v>
      </c>
      <c r="AG18" s="72">
        <v>5.39075265071705</v>
      </c>
      <c r="AH18" s="72">
        <v>4.3664248550205502E-2</v>
      </c>
      <c r="AI18" s="71"/>
      <c r="AJ18" s="27">
        <v>2006</v>
      </c>
      <c r="AK18" s="39">
        <v>1.177</v>
      </c>
      <c r="AL18" s="39">
        <v>8.5999999999999993E-2</v>
      </c>
      <c r="AN18" s="27">
        <v>1966</v>
      </c>
      <c r="AO18" s="41"/>
      <c r="AP18" s="41"/>
      <c r="AQ18" s="41"/>
      <c r="AR18" s="41"/>
    </row>
    <row r="19" spans="3:44">
      <c r="C19">
        <v>1999</v>
      </c>
      <c r="D19">
        <v>85.875399999999999</v>
      </c>
      <c r="E19">
        <v>15.707100000000001</v>
      </c>
      <c r="F19">
        <v>60.003900000000002</v>
      </c>
      <c r="G19">
        <v>122.90170000000001</v>
      </c>
      <c r="H19" s="47">
        <f t="shared" si="0"/>
        <v>0.1829056982558451</v>
      </c>
      <c r="L19">
        <v>2023</v>
      </c>
      <c r="M19">
        <v>55.386000000000003</v>
      </c>
      <c r="N19">
        <v>70.596000000000004</v>
      </c>
      <c r="O19">
        <v>43.453000000000003</v>
      </c>
      <c r="P19">
        <v>60.762999999999998</v>
      </c>
      <c r="Q19" s="46">
        <v>0.03</v>
      </c>
      <c r="T19">
        <v>2021</v>
      </c>
      <c r="U19">
        <v>4.29879129675333E-3</v>
      </c>
      <c r="V19">
        <v>3.8854612544143301E-3</v>
      </c>
      <c r="W19">
        <v>4.7733136539312203E-3</v>
      </c>
      <c r="Y19">
        <f t="shared" si="1"/>
        <v>4.2987912967533299</v>
      </c>
      <c r="Z19">
        <f t="shared" si="2"/>
        <v>5.1633839504341743E-2</v>
      </c>
      <c r="AD19" s="71">
        <v>2005</v>
      </c>
      <c r="AE19" s="72">
        <v>3.9986532863525701</v>
      </c>
      <c r="AF19" s="72">
        <v>5.5274141726882199E-2</v>
      </c>
      <c r="AG19" s="72">
        <v>5.2772170728013696</v>
      </c>
      <c r="AH19" s="72">
        <v>4.3568010248090198E-2</v>
      </c>
      <c r="AI19" s="71"/>
      <c r="AJ19" s="27">
        <v>2007</v>
      </c>
      <c r="AK19" s="39">
        <v>1.4319999999999999</v>
      </c>
      <c r="AL19" s="39">
        <v>7.0000000000000007E-2</v>
      </c>
      <c r="AN19" s="27">
        <v>1967</v>
      </c>
      <c r="AO19" s="41"/>
      <c r="AP19" s="41"/>
      <c r="AQ19" s="41"/>
      <c r="AR19" s="41"/>
    </row>
    <row r="20" spans="3:44">
      <c r="C20">
        <v>2000</v>
      </c>
      <c r="D20">
        <v>121.4987</v>
      </c>
      <c r="E20">
        <v>36.390799999999999</v>
      </c>
      <c r="F20">
        <v>67.549700000000001</v>
      </c>
      <c r="G20">
        <v>218.53469999999999</v>
      </c>
      <c r="H20" s="47">
        <f t="shared" si="0"/>
        <v>0.29951596189918078</v>
      </c>
      <c r="L20">
        <v>2024</v>
      </c>
      <c r="M20">
        <v>56.500999999999998</v>
      </c>
      <c r="N20">
        <v>70.730999999999995</v>
      </c>
      <c r="O20">
        <v>45.134999999999998</v>
      </c>
      <c r="P20">
        <v>64.233000000000004</v>
      </c>
      <c r="Q20" s="46">
        <v>0.03</v>
      </c>
      <c r="T20">
        <v>2022</v>
      </c>
      <c r="U20">
        <v>5.24081815721829E-3</v>
      </c>
      <c r="V20">
        <v>4.7608974449193896E-3</v>
      </c>
      <c r="W20">
        <v>5.7737269033720203E-3</v>
      </c>
      <c r="Y20">
        <f t="shared" si="1"/>
        <v>5.2408181572182899</v>
      </c>
      <c r="Z20">
        <f t="shared" si="2"/>
        <v>4.8314472476861235E-2</v>
      </c>
      <c r="AD20" s="71">
        <v>2006</v>
      </c>
      <c r="AE20" s="72">
        <v>6.2690395894791298</v>
      </c>
      <c r="AF20" s="72">
        <v>8.6610142075065594E-2</v>
      </c>
      <c r="AG20" s="72">
        <v>7.8315231232147999</v>
      </c>
      <c r="AH20" s="72">
        <v>4.3555552035695798E-2</v>
      </c>
      <c r="AI20" s="71"/>
      <c r="AJ20" s="27">
        <v>2008</v>
      </c>
      <c r="AK20" s="39">
        <v>1.0720000000000001</v>
      </c>
      <c r="AL20" s="39">
        <v>9.4E-2</v>
      </c>
      <c r="AN20" s="27">
        <v>1968</v>
      </c>
      <c r="AO20" s="39"/>
      <c r="AP20" s="39"/>
      <c r="AQ20" s="39"/>
      <c r="AR20" s="39"/>
    </row>
    <row r="21" spans="3:44">
      <c r="C21">
        <v>2001</v>
      </c>
      <c r="D21">
        <v>83.625399999999999</v>
      </c>
      <c r="E21">
        <v>16.022500000000001</v>
      </c>
      <c r="F21">
        <v>57.444600000000001</v>
      </c>
      <c r="G21">
        <v>121.73820000000001</v>
      </c>
      <c r="H21" s="47">
        <f t="shared" si="0"/>
        <v>0.19159848562757251</v>
      </c>
      <c r="T21">
        <v>2023</v>
      </c>
      <c r="U21">
        <v>5.9063454544355503E-3</v>
      </c>
      <c r="V21">
        <v>5.3311860210966799E-3</v>
      </c>
      <c r="W21">
        <v>6.56940010921185E-3</v>
      </c>
      <c r="Y21">
        <f t="shared" si="1"/>
        <v>5.9063454544355505</v>
      </c>
      <c r="Z21">
        <f t="shared" si="2"/>
        <v>5.241033129823517E-2</v>
      </c>
      <c r="AD21" s="71">
        <v>2007</v>
      </c>
      <c r="AE21" s="72">
        <v>6.0418191712800899</v>
      </c>
      <c r="AF21" s="72">
        <v>8.2641116628661804E-2</v>
      </c>
      <c r="AG21" s="72">
        <v>8.20911336494928</v>
      </c>
      <c r="AH21" s="72">
        <v>4.3552636603390399E-2</v>
      </c>
      <c r="AI21" s="71"/>
      <c r="AJ21" s="27">
        <v>2009</v>
      </c>
      <c r="AK21" s="39">
        <v>1.012</v>
      </c>
      <c r="AL21" s="39">
        <v>0.1</v>
      </c>
      <c r="AN21" s="27">
        <f t="shared" ref="AN21:AN76" si="3">+AN20+1</f>
        <v>1969</v>
      </c>
      <c r="AO21" s="39"/>
      <c r="AP21" s="39"/>
      <c r="AQ21" s="39"/>
      <c r="AR21" s="39"/>
    </row>
    <row r="22" spans="3:44">
      <c r="C22">
        <v>2002</v>
      </c>
      <c r="D22">
        <v>125.3074</v>
      </c>
      <c r="E22">
        <v>23.378499999999999</v>
      </c>
      <c r="F22">
        <v>86.9298</v>
      </c>
      <c r="G22">
        <v>180.62790000000001</v>
      </c>
      <c r="H22" s="47">
        <f t="shared" si="0"/>
        <v>0.18656918905028752</v>
      </c>
      <c r="AD22" s="71">
        <v>2008</v>
      </c>
      <c r="AE22" s="72">
        <v>6.3915306264606002</v>
      </c>
      <c r="AF22" s="72">
        <v>9.0014404820285804E-2</v>
      </c>
      <c r="AG22" s="72">
        <v>8.4154817436985798</v>
      </c>
      <c r="AH22" s="72">
        <v>4.4059610965861702E-2</v>
      </c>
      <c r="AI22" s="71"/>
      <c r="AJ22" s="27">
        <v>2010</v>
      </c>
      <c r="AK22" s="39">
        <v>1.1910000000000001</v>
      </c>
      <c r="AL22" s="39">
        <v>8.5000000000000006E-2</v>
      </c>
      <c r="AN22" s="27">
        <f t="shared" si="3"/>
        <v>1970</v>
      </c>
      <c r="AO22" s="39"/>
      <c r="AP22" s="39"/>
      <c r="AQ22" s="39"/>
      <c r="AR22" s="39"/>
    </row>
    <row r="23" spans="3:44">
      <c r="C23">
        <v>2003</v>
      </c>
      <c r="D23">
        <v>80.783600000000007</v>
      </c>
      <c r="E23">
        <v>15.376300000000001</v>
      </c>
      <c r="F23">
        <v>55.629600000000003</v>
      </c>
      <c r="G23">
        <v>117.31140000000001</v>
      </c>
      <c r="H23" s="47">
        <f t="shared" si="0"/>
        <v>0.19033937581390281</v>
      </c>
      <c r="AD23" s="71">
        <v>2009</v>
      </c>
      <c r="AE23" s="72">
        <v>4.8630496813346502</v>
      </c>
      <c r="AF23" s="72">
        <v>6.7471586521540894E-2</v>
      </c>
      <c r="AG23" s="72">
        <v>6.6643837740710499</v>
      </c>
      <c r="AH23" s="72">
        <v>4.4165001870407603E-2</v>
      </c>
      <c r="AI23" s="71"/>
      <c r="AJ23" s="27">
        <v>2011</v>
      </c>
      <c r="AK23" s="39">
        <v>1.0489999999999999</v>
      </c>
      <c r="AL23" s="39">
        <v>0.109</v>
      </c>
      <c r="AN23" s="27">
        <f t="shared" si="3"/>
        <v>1971</v>
      </c>
      <c r="AO23" s="39"/>
      <c r="AP23" s="39"/>
      <c r="AQ23" s="39"/>
      <c r="AR23" s="39"/>
    </row>
    <row r="24" spans="3:44">
      <c r="C24">
        <v>2004</v>
      </c>
      <c r="D24">
        <v>60.114199999999997</v>
      </c>
      <c r="E24">
        <v>11.3637</v>
      </c>
      <c r="F24">
        <v>41.502099999999999</v>
      </c>
      <c r="G24">
        <v>87.0732</v>
      </c>
      <c r="H24" s="47">
        <f t="shared" si="0"/>
        <v>0.18903520299696244</v>
      </c>
      <c r="T24" t="s">
        <v>89</v>
      </c>
      <c r="AD24" s="71">
        <v>2010</v>
      </c>
      <c r="AE24" s="72">
        <v>4.0413781726321796</v>
      </c>
      <c r="AF24" s="72">
        <v>5.6116927554275303E-2</v>
      </c>
      <c r="AG24" s="72">
        <v>5.3863831844990404</v>
      </c>
      <c r="AH24" s="72">
        <v>4.4824294243395797E-2</v>
      </c>
      <c r="AI24" s="71"/>
      <c r="AJ24" s="27">
        <v>2012</v>
      </c>
      <c r="AK24" s="39">
        <v>0.95399999999999996</v>
      </c>
      <c r="AL24" s="39">
        <v>0.106</v>
      </c>
      <c r="AN24" s="27">
        <f t="shared" si="3"/>
        <v>1972</v>
      </c>
      <c r="AO24" s="39"/>
      <c r="AP24" s="39"/>
      <c r="AQ24" s="39"/>
      <c r="AR24" s="39"/>
    </row>
    <row r="25" spans="3:44">
      <c r="C25">
        <v>2005</v>
      </c>
      <c r="D25">
        <v>81.707099999999997</v>
      </c>
      <c r="E25">
        <v>15.936999999999999</v>
      </c>
      <c r="F25">
        <v>55.7485</v>
      </c>
      <c r="G25">
        <v>119.7531</v>
      </c>
      <c r="H25" s="47">
        <f t="shared" si="0"/>
        <v>0.19505036893978614</v>
      </c>
      <c r="T25" t="s">
        <v>6</v>
      </c>
      <c r="U25" t="s">
        <v>88</v>
      </c>
      <c r="V25" t="s">
        <v>87</v>
      </c>
      <c r="W25" t="s">
        <v>86</v>
      </c>
      <c r="Y25" t="s">
        <v>93</v>
      </c>
      <c r="Z25" t="s">
        <v>92</v>
      </c>
      <c r="AD25" s="71">
        <v>2011</v>
      </c>
      <c r="AE25" s="72">
        <v>4.1202959118953801</v>
      </c>
      <c r="AF25" s="72">
        <v>5.6112452361127198E-2</v>
      </c>
      <c r="AG25" s="72">
        <v>4.5953535934882002</v>
      </c>
      <c r="AH25" s="72">
        <v>4.4350660787679602E-2</v>
      </c>
      <c r="AI25" s="71"/>
      <c r="AJ25" s="27">
        <v>2013</v>
      </c>
      <c r="AK25" s="39">
        <v>0.90400000000000003</v>
      </c>
      <c r="AL25" s="39">
        <v>0.111</v>
      </c>
      <c r="AN25" s="27">
        <f t="shared" si="3"/>
        <v>1973</v>
      </c>
      <c r="AO25" s="39"/>
      <c r="AP25" s="39"/>
      <c r="AQ25" s="39"/>
      <c r="AR25" s="39"/>
    </row>
    <row r="26" spans="3:44">
      <c r="C26">
        <v>2006</v>
      </c>
      <c r="D26">
        <v>108.5994</v>
      </c>
      <c r="E26">
        <v>22.184799999999999</v>
      </c>
      <c r="F26">
        <v>72.7684</v>
      </c>
      <c r="G26">
        <v>162.0735</v>
      </c>
      <c r="H26" s="47">
        <f t="shared" si="0"/>
        <v>0.20428105495978799</v>
      </c>
      <c r="T26">
        <v>2010</v>
      </c>
      <c r="U26">
        <v>0.34014437935661601</v>
      </c>
      <c r="V26">
        <v>0.30356108678547</v>
      </c>
      <c r="W26">
        <v>0.383830936654598</v>
      </c>
      <c r="Y26">
        <f>+U26*1000</f>
        <v>340.14437935661601</v>
      </c>
      <c r="Z26">
        <f>(W26-V26)/(4*U26)</f>
        <v>5.8996895686589494E-2</v>
      </c>
      <c r="AD26" s="71">
        <v>2012</v>
      </c>
      <c r="AE26" s="72">
        <v>4.1952585802982298</v>
      </c>
      <c r="AF26" s="72">
        <v>5.7789642441329503E-2</v>
      </c>
      <c r="AG26" s="72">
        <v>5.0103946373239703</v>
      </c>
      <c r="AH26" s="72">
        <v>4.4139462130953003E-2</v>
      </c>
      <c r="AI26" s="71"/>
      <c r="AJ26" s="27">
        <v>2014</v>
      </c>
      <c r="AK26" s="39">
        <v>0.96099999999999997</v>
      </c>
      <c r="AL26" s="39">
        <v>0.105</v>
      </c>
      <c r="AN26" s="27">
        <f t="shared" si="3"/>
        <v>1974</v>
      </c>
      <c r="AO26" s="39"/>
      <c r="AP26" s="39"/>
      <c r="AQ26" s="39"/>
      <c r="AR26" s="39"/>
    </row>
    <row r="27" spans="3:44">
      <c r="C27">
        <v>2007</v>
      </c>
      <c r="D27">
        <v>118.58710000000001</v>
      </c>
      <c r="E27">
        <v>22.741700000000002</v>
      </c>
      <c r="F27">
        <v>81.433000000000007</v>
      </c>
      <c r="G27">
        <v>172.69290000000001</v>
      </c>
      <c r="H27" s="47">
        <f t="shared" si="0"/>
        <v>0.19177212361209608</v>
      </c>
      <c r="T27">
        <v>2011</v>
      </c>
      <c r="U27">
        <v>0.248554310817415</v>
      </c>
      <c r="V27">
        <v>0.22754879623125099</v>
      </c>
      <c r="W27">
        <v>0.27170994668262</v>
      </c>
      <c r="Y27">
        <f t="shared" ref="Y27:Y39" si="4">+U27*1000</f>
        <v>248.554310817415</v>
      </c>
      <c r="Z27">
        <f t="shared" ref="Z27:Z39" si="5">(W27-V27)/(4*U27)</f>
        <v>4.4418008991814729E-2</v>
      </c>
      <c r="AD27" s="71">
        <v>2013</v>
      </c>
      <c r="AE27" s="72">
        <v>4.7372412513640301</v>
      </c>
      <c r="AF27" s="72">
        <v>6.6774588978884095E-2</v>
      </c>
      <c r="AG27" s="72">
        <v>6.4501486287169998</v>
      </c>
      <c r="AH27" s="72">
        <v>4.4649806550211099E-2</v>
      </c>
      <c r="AI27" s="71"/>
      <c r="AJ27" s="27">
        <v>2015</v>
      </c>
      <c r="AK27" s="39">
        <v>1.0169999999999999</v>
      </c>
      <c r="AL27" s="39">
        <v>9.9000000000000005E-2</v>
      </c>
      <c r="AN27" s="27">
        <f t="shared" si="3"/>
        <v>1975</v>
      </c>
      <c r="AO27" s="39"/>
      <c r="AP27" s="39"/>
      <c r="AQ27" s="39"/>
      <c r="AR27" s="39"/>
    </row>
    <row r="28" spans="3:44">
      <c r="C28">
        <v>2008</v>
      </c>
      <c r="D28">
        <v>153.37280000000001</v>
      </c>
      <c r="E28">
        <v>28.778600000000001</v>
      </c>
      <c r="F28">
        <v>106.17700000000001</v>
      </c>
      <c r="G28">
        <v>221.54730000000001</v>
      </c>
      <c r="H28" s="47">
        <f t="shared" si="0"/>
        <v>0.18763822529157712</v>
      </c>
      <c r="T28">
        <v>2012</v>
      </c>
      <c r="U28">
        <v>0.156822928967987</v>
      </c>
      <c r="V28">
        <v>0.14306094481015699</v>
      </c>
      <c r="W28">
        <v>0.17195915497726</v>
      </c>
      <c r="Y28">
        <f t="shared" si="4"/>
        <v>156.822928967987</v>
      </c>
      <c r="Z28">
        <f t="shared" si="5"/>
        <v>4.6068215849039099E-2</v>
      </c>
      <c r="AD28" s="71">
        <v>2014</v>
      </c>
      <c r="AE28" s="72">
        <v>4.3588026647361602</v>
      </c>
      <c r="AF28" s="72">
        <v>6.0294623898400498E-2</v>
      </c>
      <c r="AG28" s="72">
        <v>5.1642473915368798</v>
      </c>
      <c r="AH28" s="72">
        <v>4.39024202896156E-2</v>
      </c>
      <c r="AI28" s="71"/>
      <c r="AJ28" s="27">
        <v>2016</v>
      </c>
      <c r="AK28" s="39">
        <v>0.997</v>
      </c>
      <c r="AL28" s="39">
        <v>0.10099999999999999</v>
      </c>
      <c r="AN28" s="27">
        <f t="shared" si="3"/>
        <v>1976</v>
      </c>
      <c r="AO28" s="39"/>
      <c r="AP28" s="39"/>
      <c r="AQ28" s="39"/>
      <c r="AR28" s="39"/>
    </row>
    <row r="29" spans="3:44">
      <c r="C29">
        <v>2009</v>
      </c>
      <c r="D29">
        <v>99.0274</v>
      </c>
      <c r="E29">
        <v>18.259599999999999</v>
      </c>
      <c r="F29">
        <v>68.992599999999996</v>
      </c>
      <c r="G29">
        <v>142.13740000000001</v>
      </c>
      <c r="H29" s="47">
        <f t="shared" si="0"/>
        <v>0.18438937102256547</v>
      </c>
      <c r="T29">
        <v>2013</v>
      </c>
      <c r="U29">
        <v>0.17220185504940499</v>
      </c>
      <c r="V29">
        <v>0.155674743767103</v>
      </c>
      <c r="W29">
        <v>0.19060610432764899</v>
      </c>
      <c r="Y29">
        <f t="shared" si="4"/>
        <v>172.201855049405</v>
      </c>
      <c r="Z29">
        <f t="shared" si="5"/>
        <v>5.0712811064846146E-2</v>
      </c>
      <c r="AD29" s="71">
        <v>2015</v>
      </c>
      <c r="AE29" s="72">
        <v>4.7191518472250102</v>
      </c>
      <c r="AF29" s="72">
        <v>6.5973986991083797E-2</v>
      </c>
      <c r="AG29" s="72">
        <v>6.0779396428308203</v>
      </c>
      <c r="AH29" s="72">
        <v>4.4294710534867103E-2</v>
      </c>
      <c r="AI29" s="71"/>
      <c r="AJ29" s="27">
        <v>2017</v>
      </c>
      <c r="AK29" s="39">
        <v>0.80700000000000005</v>
      </c>
      <c r="AL29" s="39">
        <v>0.125</v>
      </c>
      <c r="AN29" s="27">
        <f t="shared" si="3"/>
        <v>1977</v>
      </c>
      <c r="AO29" s="39"/>
      <c r="AP29" s="39"/>
      <c r="AQ29" s="39"/>
      <c r="AR29" s="39"/>
    </row>
    <row r="30" spans="3:44">
      <c r="C30">
        <v>2010</v>
      </c>
      <c r="D30">
        <v>106.1998</v>
      </c>
      <c r="E30">
        <v>19.5139</v>
      </c>
      <c r="F30">
        <v>74.082899999999995</v>
      </c>
      <c r="G30">
        <v>152.24029999999999</v>
      </c>
      <c r="H30" s="47">
        <f t="shared" si="0"/>
        <v>0.18374705037109298</v>
      </c>
      <c r="T30">
        <v>2014</v>
      </c>
      <c r="U30">
        <v>0.24586648773145101</v>
      </c>
      <c r="V30">
        <v>0.22291034083420899</v>
      </c>
      <c r="W30">
        <v>0.27118895419376399</v>
      </c>
      <c r="Y30">
        <f t="shared" si="4"/>
        <v>245.866487731451</v>
      </c>
      <c r="Z30">
        <f t="shared" si="5"/>
        <v>4.9090274364971175E-2</v>
      </c>
      <c r="AD30" s="71">
        <v>2016</v>
      </c>
      <c r="AE30" s="72">
        <v>4.7922716651725699</v>
      </c>
      <c r="AF30" s="72">
        <v>6.6473143838033197E-2</v>
      </c>
      <c r="AG30" s="72">
        <v>5.5996063875635302</v>
      </c>
      <c r="AH30" s="72">
        <v>4.3990862371948297E-2</v>
      </c>
      <c r="AI30" s="71"/>
      <c r="AJ30" s="27">
        <v>2018</v>
      </c>
      <c r="AK30" s="39">
        <v>0.92700000000000005</v>
      </c>
      <c r="AL30" s="39">
        <v>0.109</v>
      </c>
      <c r="AN30" s="27">
        <f t="shared" si="3"/>
        <v>1978</v>
      </c>
      <c r="AO30" s="39"/>
      <c r="AP30" s="39"/>
      <c r="AQ30" s="39"/>
      <c r="AR30" s="39"/>
    </row>
    <row r="31" spans="3:44">
      <c r="C31">
        <v>2011</v>
      </c>
      <c r="D31">
        <v>101.9984</v>
      </c>
      <c r="E31">
        <v>18.701000000000001</v>
      </c>
      <c r="F31">
        <v>71.207999999999998</v>
      </c>
      <c r="G31">
        <v>146.1027</v>
      </c>
      <c r="H31" s="47">
        <f t="shared" si="0"/>
        <v>0.18334601327079642</v>
      </c>
      <c r="T31">
        <v>2015</v>
      </c>
      <c r="U31">
        <v>0.15999436831264299</v>
      </c>
      <c r="V31">
        <v>0.14334231068774</v>
      </c>
      <c r="W31">
        <v>0.17871937893188999</v>
      </c>
      <c r="Y31">
        <f t="shared" si="4"/>
        <v>159.99436831264299</v>
      </c>
      <c r="Z31">
        <f t="shared" si="5"/>
        <v>5.5278614830710955E-2</v>
      </c>
      <c r="AD31" s="71">
        <v>2017</v>
      </c>
      <c r="AE31" s="72">
        <v>4.3819971548439902</v>
      </c>
      <c r="AF31" s="72">
        <v>6.0878603946882902E-2</v>
      </c>
      <c r="AG31" s="72">
        <v>5.1546112974337399</v>
      </c>
      <c r="AH31" s="72">
        <v>4.4296831901441298E-2</v>
      </c>
      <c r="AI31" s="71"/>
      <c r="AJ31" s="27">
        <v>2019</v>
      </c>
      <c r="AK31" s="39">
        <v>0.80300000000000005</v>
      </c>
      <c r="AL31" s="39">
        <v>0.126</v>
      </c>
      <c r="AN31" s="27">
        <f t="shared" si="3"/>
        <v>1979</v>
      </c>
      <c r="AO31" s="39"/>
      <c r="AP31" s="39"/>
      <c r="AQ31" s="39"/>
      <c r="AR31" s="39"/>
    </row>
    <row r="32" spans="3:44">
      <c r="C32">
        <v>2012</v>
      </c>
      <c r="D32">
        <v>135.04740000000001</v>
      </c>
      <c r="E32">
        <v>24.952100000000002</v>
      </c>
      <c r="F32">
        <v>94.018600000000006</v>
      </c>
      <c r="G32">
        <v>193.98070000000001</v>
      </c>
      <c r="H32" s="47">
        <f t="shared" si="0"/>
        <v>0.18476549715137056</v>
      </c>
      <c r="T32">
        <v>2016</v>
      </c>
      <c r="U32">
        <v>0.20505623507974899</v>
      </c>
      <c r="V32">
        <v>0.18367585097852299</v>
      </c>
      <c r="W32">
        <v>0.22921793903792201</v>
      </c>
      <c r="Y32">
        <f t="shared" si="4"/>
        <v>205.056235079749</v>
      </c>
      <c r="Z32">
        <f t="shared" si="5"/>
        <v>5.5523900604250248E-2</v>
      </c>
      <c r="AD32" s="71">
        <v>2018</v>
      </c>
      <c r="AE32" s="72">
        <v>4.6891983668718202</v>
      </c>
      <c r="AF32" s="72">
        <v>6.4345228581189198E-2</v>
      </c>
      <c r="AG32" s="72">
        <v>6.3867322963796598</v>
      </c>
      <c r="AH32" s="72">
        <v>4.3834557644321703E-2</v>
      </c>
      <c r="AI32" s="71"/>
      <c r="AJ32" s="27">
        <v>2020</v>
      </c>
      <c r="AK32" s="39">
        <v>0.64500000000000002</v>
      </c>
      <c r="AL32" s="39">
        <v>0.156</v>
      </c>
      <c r="AN32" s="27">
        <f t="shared" si="3"/>
        <v>1980</v>
      </c>
      <c r="AO32" s="39"/>
      <c r="AP32" s="39"/>
      <c r="AQ32" s="39"/>
      <c r="AR32" s="39"/>
    </row>
    <row r="33" spans="2:44">
      <c r="C33">
        <v>2013</v>
      </c>
      <c r="D33">
        <v>89.253799999999998</v>
      </c>
      <c r="E33">
        <v>16.099499999999999</v>
      </c>
      <c r="F33">
        <v>62.674100000000003</v>
      </c>
      <c r="G33">
        <v>127.1058</v>
      </c>
      <c r="H33" s="47">
        <f t="shared" si="0"/>
        <v>0.18037887462494592</v>
      </c>
      <c r="T33">
        <v>2017</v>
      </c>
      <c r="U33">
        <v>0.18117870488605101</v>
      </c>
      <c r="V33">
        <v>0.16410596607866801</v>
      </c>
      <c r="W33">
        <v>0.20021446255935699</v>
      </c>
      <c r="Y33">
        <f t="shared" si="4"/>
        <v>181.17870488605101</v>
      </c>
      <c r="Z33">
        <f t="shared" si="5"/>
        <v>4.9824421285325375E-2</v>
      </c>
      <c r="AD33" s="71">
        <v>2019</v>
      </c>
      <c r="AE33" s="72">
        <v>4.2384281383295797</v>
      </c>
      <c r="AF33" s="72">
        <v>5.8044872329409199E-2</v>
      </c>
      <c r="AG33" s="72">
        <v>5.1978342080958999</v>
      </c>
      <c r="AH33" s="72">
        <v>4.3757234588550499E-2</v>
      </c>
      <c r="AI33" s="71"/>
      <c r="AJ33" s="27">
        <v>2021</v>
      </c>
      <c r="AK33" s="86">
        <v>0.79600000000000004</v>
      </c>
      <c r="AL33" s="86">
        <v>0.127</v>
      </c>
      <c r="AN33" s="27">
        <f t="shared" si="3"/>
        <v>1981</v>
      </c>
      <c r="AO33" s="39"/>
      <c r="AP33" s="39"/>
      <c r="AQ33" s="39"/>
      <c r="AR33" s="39"/>
    </row>
    <row r="34" spans="2:44">
      <c r="C34">
        <v>2014</v>
      </c>
      <c r="D34">
        <v>96.435199999999995</v>
      </c>
      <c r="E34">
        <v>17.399899999999999</v>
      </c>
      <c r="F34">
        <v>67.709900000000005</v>
      </c>
      <c r="G34">
        <v>137.3468</v>
      </c>
      <c r="H34" s="47">
        <f t="shared" si="0"/>
        <v>0.18043100444650917</v>
      </c>
      <c r="T34">
        <v>2018</v>
      </c>
      <c r="U34">
        <v>0.123770810489294</v>
      </c>
      <c r="V34">
        <v>0.109200776489981</v>
      </c>
      <c r="W34">
        <v>0.14098454951223699</v>
      </c>
      <c r="Y34">
        <f t="shared" si="4"/>
        <v>123.77081048929401</v>
      </c>
      <c r="Z34">
        <f t="shared" si="5"/>
        <v>6.4198846433596801E-2</v>
      </c>
      <c r="AD34" s="71">
        <v>2020</v>
      </c>
      <c r="AE34" s="72">
        <v>4.3217217814371498</v>
      </c>
      <c r="AF34" s="72">
        <v>6.0412341811835503E-2</v>
      </c>
      <c r="AG34" s="72">
        <v>5.1558841953670598</v>
      </c>
      <c r="AH34" s="72">
        <v>4.42126796914072E-2</v>
      </c>
      <c r="AI34" s="71"/>
      <c r="AJ34" s="27">
        <v>2022</v>
      </c>
      <c r="AK34" s="39">
        <v>0.82599999999999996</v>
      </c>
      <c r="AL34" s="39">
        <v>0.122</v>
      </c>
      <c r="AN34" s="27">
        <f t="shared" si="3"/>
        <v>1982</v>
      </c>
      <c r="AO34" s="40">
        <v>736</v>
      </c>
      <c r="AP34" s="39">
        <v>0.48</v>
      </c>
      <c r="AQ34" s="39"/>
      <c r="AR34" s="39"/>
    </row>
    <row r="35" spans="2:44">
      <c r="C35">
        <v>2015</v>
      </c>
      <c r="D35">
        <v>86.127799999999993</v>
      </c>
      <c r="E35">
        <v>15.4953</v>
      </c>
      <c r="F35">
        <v>60.534599999999998</v>
      </c>
      <c r="G35">
        <v>122.5416</v>
      </c>
      <c r="H35" s="47">
        <f t="shared" si="0"/>
        <v>0.17991055152923913</v>
      </c>
      <c r="T35">
        <v>2019</v>
      </c>
      <c r="U35">
        <v>0.177190152291023</v>
      </c>
      <c r="V35">
        <v>0.16241383097290499</v>
      </c>
      <c r="W35">
        <v>0.19334300389099701</v>
      </c>
      <c r="Y35">
        <f t="shared" si="4"/>
        <v>177.190152291023</v>
      </c>
      <c r="Z35">
        <f t="shared" si="5"/>
        <v>4.3638391465589073E-2</v>
      </c>
      <c r="AD35" s="71">
        <v>2021</v>
      </c>
      <c r="AE35" s="72">
        <v>4.5960721216816003</v>
      </c>
      <c r="AF35" s="72">
        <v>6.6512496328427803E-2</v>
      </c>
      <c r="AG35" s="72">
        <v>5.4082688263210397</v>
      </c>
      <c r="AH35" s="72">
        <v>4.4327496618478499E-2</v>
      </c>
      <c r="AI35" s="71"/>
      <c r="AJ35" s="27">
        <v>2023</v>
      </c>
      <c r="AK35" s="39">
        <v>0.81499999999999995</v>
      </c>
      <c r="AL35" s="39">
        <v>0.124</v>
      </c>
      <c r="AN35" s="27">
        <f t="shared" si="3"/>
        <v>1983</v>
      </c>
      <c r="AO35" s="40">
        <v>407</v>
      </c>
      <c r="AP35" s="39">
        <v>0.48</v>
      </c>
      <c r="AQ35" s="39"/>
      <c r="AR35" s="39"/>
    </row>
    <row r="36" spans="2:44">
      <c r="C36">
        <v>2016</v>
      </c>
      <c r="D36">
        <v>70.599199999999996</v>
      </c>
      <c r="E36">
        <v>12.713900000000001</v>
      </c>
      <c r="F36">
        <v>49.603200000000001</v>
      </c>
      <c r="G36">
        <v>100.4823</v>
      </c>
      <c r="H36" s="47">
        <f t="shared" si="0"/>
        <v>0.18008561003524121</v>
      </c>
      <c r="T36">
        <v>2020</v>
      </c>
      <c r="U36">
        <v>0.21015499544314001</v>
      </c>
      <c r="V36">
        <v>0.19216008336417101</v>
      </c>
      <c r="W36">
        <v>0.229883608977246</v>
      </c>
      <c r="Y36">
        <f t="shared" si="4"/>
        <v>210.15499544314</v>
      </c>
      <c r="Z36">
        <f t="shared" si="5"/>
        <v>4.487583739507342E-2</v>
      </c>
      <c r="AD36" s="71">
        <v>2022</v>
      </c>
      <c r="AE36" s="72">
        <v>4.7730779762348998</v>
      </c>
      <c r="AF36" s="72">
        <v>6.7363493933805502E-2</v>
      </c>
      <c r="AG36" s="72">
        <v>6.0171015593729198</v>
      </c>
      <c r="AH36" s="72">
        <v>4.4002571124704203E-2</v>
      </c>
      <c r="AI36" s="71"/>
      <c r="AJ36" s="43">
        <v>2024</v>
      </c>
      <c r="AK36" s="44">
        <v>0.63500000000000001</v>
      </c>
      <c r="AL36" s="44">
        <v>0.159</v>
      </c>
      <c r="AN36" s="27">
        <f t="shared" si="3"/>
        <v>1984</v>
      </c>
      <c r="AO36" s="40">
        <v>283</v>
      </c>
      <c r="AP36" s="39">
        <v>0.49</v>
      </c>
      <c r="AQ36" s="39"/>
      <c r="AR36" s="39"/>
    </row>
    <row r="37" spans="2:44">
      <c r="C37">
        <v>2017</v>
      </c>
      <c r="D37">
        <v>124.6284</v>
      </c>
      <c r="E37">
        <v>27.0623</v>
      </c>
      <c r="F37">
        <v>81.429900000000004</v>
      </c>
      <c r="G37">
        <v>190.74369999999999</v>
      </c>
      <c r="H37" s="47">
        <f t="shared" si="0"/>
        <v>0.21714392546161229</v>
      </c>
      <c r="T37">
        <v>2021</v>
      </c>
      <c r="U37">
        <v>0.12729672510929699</v>
      </c>
      <c r="V37">
        <v>0.114575303075892</v>
      </c>
      <c r="W37">
        <v>0.14190827248483801</v>
      </c>
      <c r="Y37">
        <f t="shared" si="4"/>
        <v>127.29672510929699</v>
      </c>
      <c r="Z37">
        <f t="shared" si="5"/>
        <v>5.3679639805104783E-2</v>
      </c>
      <c r="AD37" s="71">
        <v>2023</v>
      </c>
      <c r="AE37" s="72">
        <v>5.3858463212661798</v>
      </c>
      <c r="AF37" s="72">
        <v>7.5161759707144005E-2</v>
      </c>
      <c r="AG37" s="72">
        <v>7.3382240660437601</v>
      </c>
      <c r="AH37" s="72">
        <v>4.3676016676368001E-2</v>
      </c>
      <c r="AI37" s="71"/>
      <c r="AJ37" s="13"/>
      <c r="AK37" s="22"/>
      <c r="AL37" s="22"/>
      <c r="AN37" s="27">
        <f t="shared" si="3"/>
        <v>1985</v>
      </c>
      <c r="AO37" s="40">
        <v>155</v>
      </c>
      <c r="AP37" s="39">
        <v>0.53</v>
      </c>
      <c r="AQ37" s="39"/>
      <c r="AR37" s="39"/>
    </row>
    <row r="38" spans="2:44">
      <c r="C38">
        <v>2018</v>
      </c>
      <c r="D38">
        <v>106.9404</v>
      </c>
      <c r="E38">
        <v>21.584</v>
      </c>
      <c r="F38">
        <v>72.001499999999993</v>
      </c>
      <c r="G38">
        <v>158.83340000000001</v>
      </c>
      <c r="H38" s="47">
        <f t="shared" si="0"/>
        <v>0.20183204850552269</v>
      </c>
      <c r="T38">
        <v>2022</v>
      </c>
      <c r="U38">
        <v>0.168474283894087</v>
      </c>
      <c r="V38">
        <v>0.152097762050733</v>
      </c>
      <c r="W38">
        <v>0.18674728676903801</v>
      </c>
      <c r="Y38">
        <f t="shared" si="4"/>
        <v>168.47428389408699</v>
      </c>
      <c r="Z38">
        <f t="shared" si="5"/>
        <v>5.1416637479355272E-2</v>
      </c>
      <c r="AD38" s="71">
        <v>2024</v>
      </c>
      <c r="AE38" s="72">
        <v>5.0199676451707003</v>
      </c>
      <c r="AF38" s="72">
        <v>7.0384679030996794E-2</v>
      </c>
      <c r="AG38" s="72">
        <v>6.5342981976618297</v>
      </c>
      <c r="AH38" s="72">
        <v>4.3805691167071302E-2</v>
      </c>
      <c r="AI38" s="71"/>
      <c r="AJ38" s="13"/>
      <c r="AK38" s="22"/>
      <c r="AL38" s="22"/>
      <c r="AN38" s="27">
        <f t="shared" si="3"/>
        <v>1986</v>
      </c>
      <c r="AO38" s="40">
        <v>189</v>
      </c>
      <c r="AP38" s="39">
        <v>0.54</v>
      </c>
      <c r="AQ38" s="39"/>
      <c r="AR38" s="39"/>
    </row>
    <row r="39" spans="2:44">
      <c r="C39">
        <v>2019</v>
      </c>
      <c r="D39">
        <v>79.205500000000001</v>
      </c>
      <c r="E39">
        <v>15.3635</v>
      </c>
      <c r="F39">
        <v>54.156100000000002</v>
      </c>
      <c r="G39">
        <v>115.8412</v>
      </c>
      <c r="H39" s="47">
        <f t="shared" si="0"/>
        <v>0.19397011571166145</v>
      </c>
      <c r="T39">
        <v>2023</v>
      </c>
      <c r="U39">
        <v>0.18365313039710901</v>
      </c>
      <c r="V39">
        <v>0.16486130291020401</v>
      </c>
      <c r="W39">
        <v>0.20531392075942001</v>
      </c>
      <c r="Y39">
        <f t="shared" si="4"/>
        <v>183.65313039710901</v>
      </c>
      <c r="Z39">
        <f t="shared" si="5"/>
        <v>5.5066605401370261E-2</v>
      </c>
      <c r="AD39" s="71"/>
      <c r="AE39" s="71"/>
      <c r="AF39" s="71"/>
      <c r="AG39" s="71"/>
      <c r="AH39" s="71"/>
      <c r="AI39" s="71"/>
      <c r="AN39" s="27">
        <f t="shared" si="3"/>
        <v>1987</v>
      </c>
      <c r="AO39" s="40">
        <v>386</v>
      </c>
      <c r="AP39" s="39">
        <v>0.49</v>
      </c>
      <c r="AQ39" s="39"/>
      <c r="AR39" s="39"/>
    </row>
    <row r="40" spans="2:44">
      <c r="C40">
        <v>2020</v>
      </c>
      <c r="D40">
        <v>77.893000000000001</v>
      </c>
      <c r="E40">
        <v>15.445499999999999</v>
      </c>
      <c r="F40">
        <v>52.8095</v>
      </c>
      <c r="G40">
        <v>114.89060000000001</v>
      </c>
      <c r="H40" s="47">
        <f t="shared" si="0"/>
        <v>0.19829124568318077</v>
      </c>
      <c r="AN40" s="27">
        <f t="shared" si="3"/>
        <v>1988</v>
      </c>
      <c r="AO40" s="40">
        <v>272</v>
      </c>
      <c r="AP40" s="39">
        <v>0.51</v>
      </c>
      <c r="AQ40" s="39"/>
      <c r="AR40" s="39"/>
    </row>
    <row r="41" spans="2:44">
      <c r="C41">
        <v>2021</v>
      </c>
      <c r="D41">
        <v>93.605000000000004</v>
      </c>
      <c r="E41">
        <v>23.976700000000001</v>
      </c>
      <c r="F41">
        <v>56.658700000000003</v>
      </c>
      <c r="G41">
        <v>154.64359999999999</v>
      </c>
      <c r="H41" s="47">
        <f t="shared" si="0"/>
        <v>0.25614764168580739</v>
      </c>
      <c r="AN41" s="27">
        <f t="shared" si="3"/>
        <v>1989</v>
      </c>
      <c r="AO41" s="40">
        <v>347</v>
      </c>
      <c r="AP41" s="39">
        <v>0.54</v>
      </c>
      <c r="AQ41" s="39"/>
      <c r="AR41" s="39"/>
    </row>
    <row r="42" spans="2:44">
      <c r="C42">
        <v>2022</v>
      </c>
      <c r="D42">
        <v>91.876099999999994</v>
      </c>
      <c r="E42">
        <v>23.5549</v>
      </c>
      <c r="F42">
        <v>55.587200000000003</v>
      </c>
      <c r="G42">
        <v>151.85550000000001</v>
      </c>
      <c r="H42" s="47">
        <f t="shared" si="0"/>
        <v>0.25637679440028477</v>
      </c>
      <c r="AN42" s="27">
        <f t="shared" si="3"/>
        <v>1990</v>
      </c>
      <c r="AO42" s="40">
        <v>270</v>
      </c>
      <c r="AP42" s="39">
        <v>0.52</v>
      </c>
      <c r="AQ42" s="39"/>
      <c r="AR42" s="39"/>
    </row>
    <row r="43" spans="2:44">
      <c r="C43">
        <v>2023</v>
      </c>
      <c r="D43">
        <v>99.397499999999994</v>
      </c>
      <c r="E43">
        <v>25.817699999999999</v>
      </c>
      <c r="F43">
        <v>59.742400000000004</v>
      </c>
      <c r="G43">
        <v>165.37450000000001</v>
      </c>
      <c r="H43" s="47">
        <f t="shared" si="0"/>
        <v>0.2597419452199502</v>
      </c>
      <c r="AN43" s="27">
        <f t="shared" si="3"/>
        <v>1991</v>
      </c>
      <c r="AO43" s="40">
        <v>270</v>
      </c>
      <c r="AP43" s="39">
        <v>0.56000000000000005</v>
      </c>
      <c r="AQ43" s="39"/>
      <c r="AR43" s="39"/>
    </row>
    <row r="44" spans="2:44">
      <c r="C44">
        <v>2024</v>
      </c>
      <c r="D44">
        <v>72.807000000000002</v>
      </c>
      <c r="E44">
        <v>19.185300000000002</v>
      </c>
      <c r="F44">
        <v>43.438499999999998</v>
      </c>
      <c r="G44">
        <v>122.0316</v>
      </c>
      <c r="H44" s="47">
        <f t="shared" si="0"/>
        <v>0.26350900325518151</v>
      </c>
      <c r="AN44" s="27">
        <f t="shared" si="3"/>
        <v>1992</v>
      </c>
      <c r="AO44" s="40">
        <v>189</v>
      </c>
      <c r="AP44" s="39">
        <v>0.56999999999999995</v>
      </c>
      <c r="AQ44" s="39"/>
      <c r="AR44" s="39"/>
    </row>
    <row r="45" spans="2:44">
      <c r="H45" s="47"/>
      <c r="AN45" s="27">
        <f t="shared" si="3"/>
        <v>1993</v>
      </c>
      <c r="AO45" s="40">
        <v>463</v>
      </c>
      <c r="AP45" s="39">
        <v>0.56000000000000005</v>
      </c>
      <c r="AQ45" s="39"/>
      <c r="AR45" s="39"/>
    </row>
    <row r="46" spans="2:44">
      <c r="H46" s="47"/>
      <c r="AN46" s="27">
        <f t="shared" si="3"/>
        <v>1994</v>
      </c>
      <c r="AO46" s="40">
        <v>334</v>
      </c>
      <c r="AP46" s="39">
        <v>0.53</v>
      </c>
      <c r="AQ46" s="39"/>
      <c r="AR46" s="39"/>
    </row>
    <row r="47" spans="2:44">
      <c r="B47" t="s">
        <v>58</v>
      </c>
      <c r="H47" s="47"/>
      <c r="AN47" s="27">
        <f t="shared" si="3"/>
        <v>1995</v>
      </c>
      <c r="AO47" s="40">
        <v>500</v>
      </c>
      <c r="AP47" s="39">
        <v>0.5</v>
      </c>
      <c r="AQ47" s="39"/>
      <c r="AR47" s="39"/>
    </row>
    <row r="48" spans="2:44">
      <c r="C48" t="s">
        <v>59</v>
      </c>
      <c r="D48" t="s">
        <v>60</v>
      </c>
      <c r="E48" t="s">
        <v>61</v>
      </c>
      <c r="F48" t="s">
        <v>62</v>
      </c>
      <c r="G48" t="s">
        <v>63</v>
      </c>
      <c r="H48" s="47"/>
      <c r="AN48" s="27">
        <f t="shared" si="3"/>
        <v>1996</v>
      </c>
      <c r="AO48" s="40">
        <v>416</v>
      </c>
      <c r="AP48" s="39">
        <v>0.48</v>
      </c>
      <c r="AQ48" s="39"/>
      <c r="AR48" s="39"/>
    </row>
    <row r="49" spans="3:44">
      <c r="C49">
        <v>1988</v>
      </c>
      <c r="D49">
        <v>11.7582</v>
      </c>
      <c r="E49">
        <v>1.5547</v>
      </c>
      <c r="F49">
        <v>9.0738000000000003</v>
      </c>
      <c r="G49">
        <v>15.236700000000001</v>
      </c>
      <c r="H49" s="47">
        <f t="shared" ref="H49:H85" si="6">+E49/D49</f>
        <v>0.13222261910836691</v>
      </c>
      <c r="AN49" s="27">
        <f t="shared" si="3"/>
        <v>1997</v>
      </c>
      <c r="AO49" s="40">
        <v>452</v>
      </c>
      <c r="AP49" s="39">
        <v>0.51</v>
      </c>
      <c r="AQ49" s="39"/>
      <c r="AR49" s="39"/>
    </row>
    <row r="50" spans="3:44">
      <c r="C50">
        <v>1989</v>
      </c>
      <c r="D50">
        <v>4.1086</v>
      </c>
      <c r="E50">
        <v>0.95789999999999997</v>
      </c>
      <c r="F50">
        <v>2.6015999999999999</v>
      </c>
      <c r="G50">
        <v>6.4885999999999999</v>
      </c>
      <c r="H50" s="47">
        <f t="shared" si="6"/>
        <v>0.23314511025653506</v>
      </c>
      <c r="AN50" s="27">
        <f t="shared" si="3"/>
        <v>1998</v>
      </c>
      <c r="AO50" s="40">
        <v>347</v>
      </c>
      <c r="AP50" s="39">
        <v>0.51</v>
      </c>
      <c r="AQ50" s="39"/>
      <c r="AR50" s="39"/>
    </row>
    <row r="51" spans="3:44">
      <c r="C51">
        <v>1990</v>
      </c>
      <c r="D51">
        <v>4.6593</v>
      </c>
      <c r="E51">
        <v>0.97740000000000005</v>
      </c>
      <c r="F51">
        <v>3.0886</v>
      </c>
      <c r="G51">
        <v>7.0286999999999997</v>
      </c>
      <c r="H51" s="47">
        <f t="shared" si="6"/>
        <v>0.20977400038632413</v>
      </c>
      <c r="AN51" s="27">
        <f t="shared" si="3"/>
        <v>1999</v>
      </c>
      <c r="AO51" s="40">
        <v>330</v>
      </c>
      <c r="AP51" s="39">
        <v>0.48</v>
      </c>
      <c r="AQ51" s="39"/>
      <c r="AR51" s="39"/>
    </row>
    <row r="52" spans="3:44">
      <c r="C52">
        <v>1991</v>
      </c>
      <c r="D52">
        <v>7.3097000000000003</v>
      </c>
      <c r="E52">
        <v>0.97009999999999996</v>
      </c>
      <c r="F52">
        <v>5.6355000000000004</v>
      </c>
      <c r="G52">
        <v>9.4811999999999994</v>
      </c>
      <c r="H52" s="47">
        <f t="shared" si="6"/>
        <v>0.13271406487270337</v>
      </c>
      <c r="AN52" s="27">
        <f t="shared" si="3"/>
        <v>2000</v>
      </c>
      <c r="AO52" s="40">
        <v>376</v>
      </c>
      <c r="AP52" s="39">
        <v>0.5</v>
      </c>
      <c r="AQ52" s="39"/>
      <c r="AR52" s="39"/>
    </row>
    <row r="53" spans="3:44">
      <c r="C53">
        <v>1992</v>
      </c>
      <c r="D53">
        <v>8.2661999999999995</v>
      </c>
      <c r="E53">
        <v>1.0931999999999999</v>
      </c>
      <c r="F53">
        <v>6.3787000000000003</v>
      </c>
      <c r="G53">
        <v>10.712300000000001</v>
      </c>
      <c r="H53" s="47">
        <f t="shared" si="6"/>
        <v>0.13224940117587283</v>
      </c>
      <c r="AN53" s="27">
        <f t="shared" si="3"/>
        <v>2001</v>
      </c>
      <c r="AO53" s="40">
        <v>334</v>
      </c>
      <c r="AP53" s="39">
        <v>0.5</v>
      </c>
      <c r="AQ53" s="39">
        <v>6.47</v>
      </c>
      <c r="AR53" s="39"/>
    </row>
    <row r="54" spans="3:44">
      <c r="C54">
        <v>1993</v>
      </c>
      <c r="D54">
        <v>8.2301000000000002</v>
      </c>
      <c r="E54">
        <v>1.0822000000000001</v>
      </c>
      <c r="F54">
        <v>6.3602999999999996</v>
      </c>
      <c r="G54">
        <v>10.6495</v>
      </c>
      <c r="H54" s="47">
        <f t="shared" si="6"/>
        <v>0.13149293447224214</v>
      </c>
      <c r="AN54" s="27">
        <f t="shared" si="3"/>
        <v>2002</v>
      </c>
      <c r="AO54" s="40">
        <v>188</v>
      </c>
      <c r="AP54" s="39">
        <v>0.55000000000000004</v>
      </c>
      <c r="AQ54" s="39">
        <v>4.13</v>
      </c>
      <c r="AR54" s="39">
        <v>0.76</v>
      </c>
    </row>
    <row r="55" spans="3:44">
      <c r="C55">
        <v>1994</v>
      </c>
      <c r="D55">
        <v>10.362</v>
      </c>
      <c r="E55">
        <v>1.3545</v>
      </c>
      <c r="F55">
        <v>8.0200999999999993</v>
      </c>
      <c r="G55">
        <v>13.387700000000001</v>
      </c>
      <c r="H55" s="47">
        <f t="shared" si="6"/>
        <v>0.13071800810654313</v>
      </c>
      <c r="AN55" s="27">
        <f t="shared" si="3"/>
        <v>2003</v>
      </c>
      <c r="AO55" s="40">
        <v>193</v>
      </c>
      <c r="AP55" s="39">
        <v>0.55000000000000004</v>
      </c>
      <c r="AQ55" s="39">
        <v>6.17</v>
      </c>
      <c r="AR55" s="39">
        <v>0.43</v>
      </c>
    </row>
    <row r="56" spans="3:44">
      <c r="C56">
        <v>1995</v>
      </c>
      <c r="D56">
        <v>8.7539999999999996</v>
      </c>
      <c r="E56">
        <v>1.1393</v>
      </c>
      <c r="F56">
        <v>6.7831000000000001</v>
      </c>
      <c r="G56">
        <v>11.297700000000001</v>
      </c>
      <c r="H56" s="47">
        <f t="shared" si="6"/>
        <v>0.13014621887137309</v>
      </c>
      <c r="AN56" s="27">
        <f t="shared" si="3"/>
        <v>2004</v>
      </c>
      <c r="AO56" s="40">
        <v>312</v>
      </c>
      <c r="AP56" s="39">
        <v>0.51</v>
      </c>
      <c r="AQ56" s="39">
        <v>5.22</v>
      </c>
      <c r="AR56" s="39">
        <v>0.42</v>
      </c>
    </row>
    <row r="57" spans="3:44">
      <c r="C57">
        <v>1996</v>
      </c>
      <c r="D57">
        <v>5.9795999999999996</v>
      </c>
      <c r="E57">
        <v>0.7833</v>
      </c>
      <c r="F57">
        <v>4.6256000000000004</v>
      </c>
      <c r="G57">
        <v>7.73</v>
      </c>
      <c r="H57" s="47">
        <f t="shared" si="6"/>
        <v>0.13099538430664259</v>
      </c>
      <c r="AN57" s="27">
        <f t="shared" si="3"/>
        <v>2005</v>
      </c>
      <c r="AO57" s="40">
        <v>250</v>
      </c>
      <c r="AP57" s="39">
        <v>0.5</v>
      </c>
      <c r="AQ57" s="39">
        <v>5.21</v>
      </c>
      <c r="AR57" s="39">
        <v>0.43</v>
      </c>
    </row>
    <row r="58" spans="3:44">
      <c r="C58">
        <v>1997</v>
      </c>
      <c r="D58">
        <v>5.742</v>
      </c>
      <c r="E58">
        <v>0.76249999999999996</v>
      </c>
      <c r="F58">
        <v>4.4260999999999999</v>
      </c>
      <c r="G58">
        <v>7.4489999999999998</v>
      </c>
      <c r="H58" s="47">
        <f t="shared" si="6"/>
        <v>0.13279345175896901</v>
      </c>
      <c r="AN58" s="27">
        <f t="shared" si="3"/>
        <v>2006</v>
      </c>
      <c r="AO58" s="40">
        <v>303</v>
      </c>
      <c r="AP58" s="39">
        <v>0.5</v>
      </c>
      <c r="AQ58" s="39">
        <v>5.5</v>
      </c>
      <c r="AR58" s="39">
        <v>0.34</v>
      </c>
    </row>
    <row r="59" spans="3:44">
      <c r="C59">
        <v>1998</v>
      </c>
      <c r="D59">
        <v>7.0884</v>
      </c>
      <c r="E59">
        <v>0.93459999999999999</v>
      </c>
      <c r="F59">
        <v>5.4741</v>
      </c>
      <c r="G59">
        <v>9.1786999999999992</v>
      </c>
      <c r="H59" s="47">
        <f t="shared" si="6"/>
        <v>0.13184921844139721</v>
      </c>
      <c r="AN59" s="27">
        <f t="shared" si="3"/>
        <v>2007</v>
      </c>
      <c r="AO59" s="40">
        <v>284</v>
      </c>
      <c r="AP59" s="39">
        <v>0.48</v>
      </c>
      <c r="AQ59" s="39">
        <v>4.96</v>
      </c>
      <c r="AR59" s="39">
        <v>0.39</v>
      </c>
    </row>
    <row r="60" spans="3:44">
      <c r="C60">
        <v>1999</v>
      </c>
      <c r="D60">
        <v>5.6138000000000003</v>
      </c>
      <c r="E60">
        <v>0.74419999999999997</v>
      </c>
      <c r="F60">
        <v>4.3292000000000002</v>
      </c>
      <c r="G60">
        <v>7.2794999999999996</v>
      </c>
      <c r="H60" s="47">
        <f t="shared" si="6"/>
        <v>0.13256617620862873</v>
      </c>
      <c r="AN60" s="27">
        <f t="shared" si="3"/>
        <v>2008</v>
      </c>
      <c r="AO60" s="40">
        <v>177</v>
      </c>
      <c r="AP60" s="39">
        <v>0.51</v>
      </c>
      <c r="AQ60" s="39">
        <v>3.23</v>
      </c>
      <c r="AR60" s="39">
        <v>0.44</v>
      </c>
    </row>
    <row r="61" spans="3:44">
      <c r="C61">
        <v>2000</v>
      </c>
      <c r="D61">
        <v>4.6590999999999996</v>
      </c>
      <c r="E61">
        <v>1.08</v>
      </c>
      <c r="F61">
        <v>2.9580000000000002</v>
      </c>
      <c r="G61">
        <v>7.3384999999999998</v>
      </c>
      <c r="H61" s="47">
        <f t="shared" si="6"/>
        <v>0.23180442574746199</v>
      </c>
      <c r="AN61" s="27">
        <f t="shared" si="3"/>
        <v>2009</v>
      </c>
      <c r="AO61" s="40">
        <v>210</v>
      </c>
      <c r="AP61" s="39">
        <v>0.51</v>
      </c>
      <c r="AQ61" s="39">
        <v>3.51</v>
      </c>
      <c r="AR61" s="39">
        <v>0.41</v>
      </c>
    </row>
    <row r="62" spans="3:44">
      <c r="C62">
        <v>2001</v>
      </c>
      <c r="D62">
        <v>6.0998000000000001</v>
      </c>
      <c r="E62">
        <v>0.85599999999999998</v>
      </c>
      <c r="F62">
        <v>4.6330999999999998</v>
      </c>
      <c r="G62">
        <v>8.0307999999999993</v>
      </c>
      <c r="H62" s="47">
        <f t="shared" si="6"/>
        <v>0.14033246991704645</v>
      </c>
      <c r="AN62" s="27">
        <f t="shared" si="3"/>
        <v>2010</v>
      </c>
      <c r="AO62" s="40">
        <v>206</v>
      </c>
      <c r="AP62" s="39">
        <v>0.53</v>
      </c>
      <c r="AQ62" s="39">
        <v>3.29</v>
      </c>
      <c r="AR62" s="39">
        <v>0.45</v>
      </c>
    </row>
    <row r="63" spans="3:44">
      <c r="C63">
        <v>2002</v>
      </c>
      <c r="D63">
        <v>11.2956</v>
      </c>
      <c r="E63">
        <v>1.534</v>
      </c>
      <c r="F63">
        <v>8.6560000000000006</v>
      </c>
      <c r="G63">
        <v>14.7402</v>
      </c>
      <c r="H63" s="47">
        <f t="shared" si="6"/>
        <v>0.13580509224830908</v>
      </c>
      <c r="AN63" s="27">
        <f t="shared" si="3"/>
        <v>2011</v>
      </c>
      <c r="AO63" s="40">
        <v>91</v>
      </c>
      <c r="AP63" s="39">
        <v>0.61</v>
      </c>
      <c r="AQ63" s="39">
        <v>2</v>
      </c>
      <c r="AR63" s="39">
        <v>0.43</v>
      </c>
    </row>
    <row r="64" spans="3:44">
      <c r="C64">
        <v>2003</v>
      </c>
      <c r="D64">
        <v>7.0759999999999996</v>
      </c>
      <c r="E64">
        <v>0.98</v>
      </c>
      <c r="F64">
        <v>5.3939000000000004</v>
      </c>
      <c r="G64">
        <v>9.2827000000000002</v>
      </c>
      <c r="H64" s="47">
        <f t="shared" si="6"/>
        <v>0.13849632560768796</v>
      </c>
      <c r="AN64" s="27">
        <f t="shared" si="3"/>
        <v>2012</v>
      </c>
      <c r="AO64" s="40">
        <v>121</v>
      </c>
      <c r="AP64" s="39">
        <v>0.54</v>
      </c>
      <c r="AQ64" s="39">
        <v>5.08</v>
      </c>
      <c r="AR64" s="39">
        <v>0.47</v>
      </c>
    </row>
    <row r="65" spans="3:44">
      <c r="C65">
        <v>2004</v>
      </c>
      <c r="D65">
        <v>5.0777000000000001</v>
      </c>
      <c r="E65">
        <v>0.70279999999999998</v>
      </c>
      <c r="F65">
        <v>3.8713000000000002</v>
      </c>
      <c r="G65">
        <v>6.66</v>
      </c>
      <c r="H65" s="47">
        <f t="shared" si="6"/>
        <v>0.13840912224038443</v>
      </c>
      <c r="AN65" s="27">
        <f t="shared" si="3"/>
        <v>2013</v>
      </c>
      <c r="AO65" s="39"/>
      <c r="AP65" s="39"/>
      <c r="AQ65" s="39"/>
      <c r="AR65" s="39"/>
    </row>
    <row r="66" spans="3:44">
      <c r="C66">
        <v>2005</v>
      </c>
      <c r="D66">
        <v>6.2751999999999999</v>
      </c>
      <c r="E66">
        <v>0.89829999999999999</v>
      </c>
      <c r="F66">
        <v>4.74</v>
      </c>
      <c r="G66">
        <v>8.3074999999999992</v>
      </c>
      <c r="H66" s="47">
        <f t="shared" si="6"/>
        <v>0.14315081591024986</v>
      </c>
      <c r="AN66" s="27">
        <f t="shared" si="3"/>
        <v>2014</v>
      </c>
      <c r="AO66" s="39"/>
      <c r="AP66" s="39"/>
      <c r="AQ66" s="39"/>
      <c r="AR66" s="39"/>
    </row>
    <row r="67" spans="3:44">
      <c r="C67">
        <v>2006</v>
      </c>
      <c r="D67">
        <v>7.0103</v>
      </c>
      <c r="E67">
        <v>1.0576000000000001</v>
      </c>
      <c r="F67">
        <v>5.2157999999999998</v>
      </c>
      <c r="G67">
        <v>9.4221000000000004</v>
      </c>
      <c r="H67" s="47">
        <f t="shared" si="6"/>
        <v>0.15086372908434734</v>
      </c>
      <c r="AN67" s="27">
        <f t="shared" si="3"/>
        <v>2015</v>
      </c>
      <c r="AO67" s="39"/>
      <c r="AP67" s="39"/>
      <c r="AQ67" s="39"/>
      <c r="AR67" s="39"/>
    </row>
    <row r="68" spans="3:44">
      <c r="C68">
        <v>2007</v>
      </c>
      <c r="D68">
        <v>9.3298000000000005</v>
      </c>
      <c r="E68">
        <v>1.3055000000000001</v>
      </c>
      <c r="F68">
        <v>7.0918999999999999</v>
      </c>
      <c r="G68">
        <v>12.273899999999999</v>
      </c>
      <c r="H68" s="47">
        <f t="shared" si="6"/>
        <v>0.13992797273253446</v>
      </c>
      <c r="AN68" s="27">
        <f t="shared" si="3"/>
        <v>2016</v>
      </c>
      <c r="AO68" s="39"/>
      <c r="AP68" s="39"/>
      <c r="AQ68" s="39"/>
      <c r="AR68" s="39"/>
    </row>
    <row r="69" spans="3:44">
      <c r="C69">
        <v>2008</v>
      </c>
      <c r="D69">
        <v>8.6974</v>
      </c>
      <c r="E69">
        <v>1.1907000000000001</v>
      </c>
      <c r="F69">
        <v>6.6505000000000001</v>
      </c>
      <c r="G69">
        <v>11.3742</v>
      </c>
      <c r="H69" s="47">
        <f t="shared" si="6"/>
        <v>0.13690298250051741</v>
      </c>
      <c r="AN69" s="27">
        <f t="shared" si="3"/>
        <v>2017</v>
      </c>
      <c r="AO69" s="39"/>
      <c r="AP69" s="39"/>
      <c r="AQ69" s="39"/>
      <c r="AR69" s="39"/>
    </row>
    <row r="70" spans="3:44">
      <c r="C70">
        <v>2009</v>
      </c>
      <c r="D70">
        <v>4.9981</v>
      </c>
      <c r="E70">
        <v>0.66949999999999998</v>
      </c>
      <c r="F70">
        <v>3.8439000000000001</v>
      </c>
      <c r="G70">
        <v>6.4987000000000004</v>
      </c>
      <c r="H70" s="47">
        <f t="shared" si="6"/>
        <v>0.13395090134251014</v>
      </c>
      <c r="AN70" s="27">
        <f t="shared" si="3"/>
        <v>2018</v>
      </c>
      <c r="AO70" s="39"/>
      <c r="AP70" s="39"/>
      <c r="AQ70" s="39"/>
      <c r="AR70" s="39"/>
    </row>
    <row r="71" spans="3:44">
      <c r="C71">
        <v>2010</v>
      </c>
      <c r="D71">
        <v>5.5175999999999998</v>
      </c>
      <c r="E71">
        <v>0.73819999999999997</v>
      </c>
      <c r="F71">
        <v>4.2449000000000003</v>
      </c>
      <c r="G71">
        <v>7.1717000000000004</v>
      </c>
      <c r="H71" s="47">
        <f t="shared" si="6"/>
        <v>0.13379005364651297</v>
      </c>
      <c r="AK71"/>
      <c r="AL71"/>
      <c r="AN71" s="27">
        <f t="shared" si="3"/>
        <v>2019</v>
      </c>
      <c r="AO71" s="39"/>
      <c r="AP71" s="39"/>
      <c r="AQ71" s="39"/>
      <c r="AR71" s="39"/>
    </row>
    <row r="72" spans="3:44">
      <c r="C72">
        <v>2011</v>
      </c>
      <c r="D72">
        <v>6.2457000000000003</v>
      </c>
      <c r="E72">
        <v>0.83040000000000003</v>
      </c>
      <c r="F72">
        <v>4.8129</v>
      </c>
      <c r="G72">
        <v>8.1051000000000002</v>
      </c>
      <c r="H72" s="47">
        <f t="shared" si="6"/>
        <v>0.13295547336567559</v>
      </c>
      <c r="AJ72" s="13"/>
      <c r="AK72"/>
      <c r="AL72"/>
      <c r="AN72" s="27">
        <f>+AN71+1</f>
        <v>2020</v>
      </c>
      <c r="AO72" s="39"/>
      <c r="AP72" s="39"/>
      <c r="AQ72" s="39"/>
      <c r="AR72" s="39"/>
    </row>
    <row r="73" spans="3:44">
      <c r="C73">
        <v>2012</v>
      </c>
      <c r="D73">
        <v>8.5123999999999995</v>
      </c>
      <c r="E73">
        <v>1.1405000000000001</v>
      </c>
      <c r="F73">
        <v>6.5464000000000002</v>
      </c>
      <c r="G73">
        <v>11.0688</v>
      </c>
      <c r="H73" s="47">
        <f t="shared" si="6"/>
        <v>0.13398101592970257</v>
      </c>
      <c r="AJ73" s="13"/>
      <c r="AK73"/>
      <c r="AL73"/>
      <c r="AN73" s="27">
        <f t="shared" si="3"/>
        <v>2021</v>
      </c>
      <c r="AO73" s="39"/>
      <c r="AP73" s="39"/>
      <c r="AQ73" s="39"/>
      <c r="AR73" s="39"/>
    </row>
    <row r="74" spans="3:44">
      <c r="C74">
        <v>2013</v>
      </c>
      <c r="D74">
        <v>6.6513</v>
      </c>
      <c r="E74">
        <v>0.86470000000000002</v>
      </c>
      <c r="F74">
        <v>5.1551999999999998</v>
      </c>
      <c r="G74">
        <v>8.5816999999999997</v>
      </c>
      <c r="H74" s="47">
        <f t="shared" si="6"/>
        <v>0.13000466074301265</v>
      </c>
      <c r="AJ74" s="13"/>
      <c r="AK74"/>
      <c r="AL74"/>
      <c r="AN74" s="27">
        <f t="shared" si="3"/>
        <v>2022</v>
      </c>
      <c r="AO74" s="39"/>
      <c r="AP74" s="39"/>
      <c r="AQ74" s="39"/>
      <c r="AR74" s="39"/>
    </row>
    <row r="75" spans="3:44">
      <c r="C75">
        <v>2014</v>
      </c>
      <c r="D75">
        <v>6.8518999999999997</v>
      </c>
      <c r="E75">
        <v>0.89070000000000005</v>
      </c>
      <c r="F75">
        <v>5.3108000000000004</v>
      </c>
      <c r="G75">
        <v>8.8401999999999994</v>
      </c>
      <c r="H75" s="47">
        <f t="shared" si="6"/>
        <v>0.12999314058874181</v>
      </c>
      <c r="AJ75" s="13"/>
      <c r="AK75"/>
      <c r="AL75"/>
      <c r="AN75" s="27">
        <f t="shared" si="3"/>
        <v>2023</v>
      </c>
      <c r="AO75" s="39"/>
      <c r="AP75" s="39"/>
      <c r="AQ75" s="39"/>
      <c r="AR75" s="39"/>
    </row>
    <row r="76" spans="3:44">
      <c r="C76">
        <v>2015</v>
      </c>
      <c r="D76">
        <v>6.8243</v>
      </c>
      <c r="E76">
        <v>0.88290000000000002</v>
      </c>
      <c r="F76">
        <v>5.2957999999999998</v>
      </c>
      <c r="G76">
        <v>8.7940000000000005</v>
      </c>
      <c r="H76" s="47">
        <f t="shared" si="6"/>
        <v>0.12937590668640006</v>
      </c>
      <c r="AJ76" s="13"/>
      <c r="AK76" s="14"/>
      <c r="AL76" s="14"/>
      <c r="AN76" s="43">
        <f t="shared" si="3"/>
        <v>2024</v>
      </c>
      <c r="AO76" s="44"/>
      <c r="AP76" s="44"/>
      <c r="AQ76" s="44"/>
      <c r="AR76" s="44"/>
    </row>
    <row r="77" spans="3:44">
      <c r="C77">
        <v>2016</v>
      </c>
      <c r="D77">
        <v>6.8734999999999999</v>
      </c>
      <c r="E77">
        <v>0.8911</v>
      </c>
      <c r="F77">
        <v>5.3312999999999997</v>
      </c>
      <c r="G77">
        <v>8.8619000000000003</v>
      </c>
      <c r="H77" s="47">
        <f t="shared" si="6"/>
        <v>0.12964283116316289</v>
      </c>
      <c r="AJ77" s="13"/>
      <c r="AK77" s="14"/>
      <c r="AL77" s="14"/>
      <c r="AO77" s="39"/>
      <c r="AP77" s="39"/>
      <c r="AQ77" s="39"/>
      <c r="AR77" s="39"/>
    </row>
    <row r="78" spans="3:44">
      <c r="C78">
        <v>2017</v>
      </c>
      <c r="D78">
        <v>6.4325999999999999</v>
      </c>
      <c r="E78">
        <v>1.0082</v>
      </c>
      <c r="F78">
        <v>4.7312000000000003</v>
      </c>
      <c r="G78">
        <v>8.7457999999999991</v>
      </c>
      <c r="H78" s="47">
        <f t="shared" si="6"/>
        <v>0.15673289183222958</v>
      </c>
      <c r="AJ78" s="13"/>
      <c r="AK78" s="14"/>
      <c r="AL78" s="14"/>
      <c r="AN78" s="13"/>
      <c r="AO78" s="22"/>
      <c r="AP78" s="22"/>
      <c r="AQ78" s="22"/>
      <c r="AR78" s="22"/>
    </row>
    <row r="79" spans="3:44">
      <c r="C79">
        <v>2018</v>
      </c>
      <c r="D79">
        <v>5.1405000000000003</v>
      </c>
      <c r="E79">
        <v>0.73980000000000001</v>
      </c>
      <c r="F79">
        <v>3.8771</v>
      </c>
      <c r="G79">
        <v>6.8155999999999999</v>
      </c>
      <c r="H79" s="47">
        <f t="shared" si="6"/>
        <v>0.14391596148234606</v>
      </c>
      <c r="AJ79" s="13"/>
      <c r="AK79" s="14"/>
      <c r="AL79" s="14"/>
      <c r="AO79" s="14"/>
      <c r="AP79" s="14"/>
      <c r="AQ79" s="14"/>
      <c r="AR79" s="14"/>
    </row>
    <row r="80" spans="3:44">
      <c r="C80">
        <v>2019</v>
      </c>
      <c r="D80">
        <v>4.7872000000000003</v>
      </c>
      <c r="E80">
        <v>0.65820000000000001</v>
      </c>
      <c r="F80">
        <v>3.6564000000000001</v>
      </c>
      <c r="G80">
        <v>6.2678000000000003</v>
      </c>
      <c r="H80" s="47">
        <f t="shared" si="6"/>
        <v>0.13749164438502673</v>
      </c>
      <c r="AJ80" s="13"/>
      <c r="AK80" s="14"/>
      <c r="AL80" s="14"/>
      <c r="AN80" s="13"/>
      <c r="AO80" s="14"/>
      <c r="AP80" s="14"/>
      <c r="AQ80" s="14"/>
      <c r="AR80" s="14"/>
    </row>
    <row r="81" spans="3:44">
      <c r="C81">
        <v>2020</v>
      </c>
      <c r="D81">
        <v>5.1363000000000003</v>
      </c>
      <c r="E81">
        <v>0.71940000000000004</v>
      </c>
      <c r="F81">
        <v>3.9033000000000002</v>
      </c>
      <c r="G81">
        <v>6.7587999999999999</v>
      </c>
      <c r="H81" s="47">
        <f t="shared" si="6"/>
        <v>0.14006191227147946</v>
      </c>
      <c r="AJ81" s="13"/>
      <c r="AK81" s="14"/>
      <c r="AL81" s="14"/>
      <c r="AN81" s="13"/>
      <c r="AO81" s="14"/>
      <c r="AP81" s="14"/>
      <c r="AQ81" s="14"/>
      <c r="AR81" s="14"/>
    </row>
    <row r="82" spans="3:44">
      <c r="C82">
        <v>2021</v>
      </c>
      <c r="D82">
        <v>6.6536999999999997</v>
      </c>
      <c r="E82">
        <v>1.2949999999999999</v>
      </c>
      <c r="F82">
        <v>4.5435999999999996</v>
      </c>
      <c r="G82">
        <v>9.7439999999999998</v>
      </c>
      <c r="H82" s="47">
        <f t="shared" si="6"/>
        <v>0.19462855253467995</v>
      </c>
      <c r="AJ82" s="13"/>
      <c r="AK82" s="14"/>
      <c r="AL82" s="14"/>
      <c r="AN82" s="13"/>
      <c r="AO82" s="14"/>
      <c r="AP82" s="14"/>
      <c r="AQ82" s="14"/>
      <c r="AR82" s="14"/>
    </row>
    <row r="83" spans="3:44">
      <c r="C83">
        <v>2022</v>
      </c>
      <c r="D83">
        <v>6.1154999999999999</v>
      </c>
      <c r="E83">
        <v>1.1911</v>
      </c>
      <c r="F83">
        <v>4.1749999999999998</v>
      </c>
      <c r="G83">
        <v>8.9580000000000002</v>
      </c>
      <c r="H83" s="47">
        <f t="shared" si="6"/>
        <v>0.19476739432589324</v>
      </c>
      <c r="AJ83" s="13"/>
      <c r="AK83" s="14"/>
      <c r="AL83" s="14"/>
      <c r="AN83" s="13"/>
      <c r="AO83" s="14"/>
      <c r="AP83" s="14"/>
      <c r="AQ83" s="14"/>
      <c r="AR83" s="14"/>
    </row>
    <row r="84" spans="3:44">
      <c r="C84">
        <v>2023</v>
      </c>
      <c r="D84">
        <v>6.0800999999999998</v>
      </c>
      <c r="E84">
        <v>1.2030000000000001</v>
      </c>
      <c r="F84">
        <v>4.1256000000000004</v>
      </c>
      <c r="G84">
        <v>8.9603999999999999</v>
      </c>
      <c r="H84" s="47">
        <f t="shared" si="6"/>
        <v>0.1978585878521735</v>
      </c>
      <c r="AJ84" s="13"/>
      <c r="AK84" s="14"/>
      <c r="AL84" s="14"/>
      <c r="AN84" s="13"/>
      <c r="AO84" s="14"/>
      <c r="AP84" s="14"/>
      <c r="AQ84" s="14"/>
      <c r="AR84" s="14"/>
    </row>
    <row r="85" spans="3:44">
      <c r="C85">
        <v>2024</v>
      </c>
      <c r="D85">
        <v>6.7824</v>
      </c>
      <c r="E85">
        <v>1.3680000000000001</v>
      </c>
      <c r="F85">
        <v>4.5677000000000003</v>
      </c>
      <c r="G85">
        <v>10.0709</v>
      </c>
      <c r="H85" s="47">
        <f t="shared" si="6"/>
        <v>0.20169851380042464</v>
      </c>
      <c r="AJ85" s="13"/>
      <c r="AK85" s="14"/>
      <c r="AL85" s="14"/>
      <c r="AN85" s="13"/>
      <c r="AO85" s="14"/>
      <c r="AP85" s="14"/>
      <c r="AQ85" s="14"/>
      <c r="AR85" s="14"/>
    </row>
    <row r="86" spans="3:44">
      <c r="AJ86" s="13"/>
      <c r="AK86" s="14"/>
      <c r="AL86" s="14"/>
      <c r="AN86" s="13"/>
      <c r="AO86" s="14"/>
      <c r="AP86" s="14"/>
      <c r="AQ86" s="14"/>
      <c r="AR86" s="14"/>
    </row>
    <row r="87" spans="3:44">
      <c r="AJ87" s="13"/>
      <c r="AK87" s="14"/>
      <c r="AL87" s="14"/>
      <c r="AN87" s="13"/>
      <c r="AO87" s="14"/>
      <c r="AP87" s="14"/>
      <c r="AQ87" s="14"/>
      <c r="AR87" s="14"/>
    </row>
    <row r="88" spans="3:44">
      <c r="AJ88" s="13"/>
      <c r="AK88" s="14"/>
      <c r="AL88" s="14"/>
      <c r="AN88" s="13"/>
      <c r="AO88" s="14"/>
      <c r="AP88" s="14"/>
      <c r="AQ88" s="14"/>
      <c r="AR88" s="14"/>
    </row>
    <row r="89" spans="3:44">
      <c r="AN89" s="13"/>
      <c r="AO89" s="14"/>
      <c r="AP89" s="14"/>
      <c r="AQ89" s="14"/>
      <c r="AR89" s="14"/>
    </row>
    <row r="90" spans="3:44">
      <c r="AN90" s="13"/>
      <c r="AO90" s="14"/>
      <c r="AP90" s="14"/>
      <c r="AQ90" s="14"/>
      <c r="AR90" s="14"/>
    </row>
    <row r="91" spans="3:44">
      <c r="AJ91"/>
      <c r="AK91"/>
      <c r="AL91"/>
      <c r="AN91" s="13"/>
      <c r="AO91" s="14"/>
      <c r="AP91" s="14"/>
      <c r="AQ91" s="14"/>
      <c r="AR91" s="14"/>
    </row>
    <row r="92" spans="3:44">
      <c r="AJ92"/>
      <c r="AK92"/>
      <c r="AL92"/>
      <c r="AN92" s="13"/>
      <c r="AO92" s="14"/>
      <c r="AP92" s="14"/>
      <c r="AQ92" s="14"/>
      <c r="AR92" s="14"/>
    </row>
    <row r="93" spans="3:44">
      <c r="AJ93"/>
      <c r="AK93"/>
      <c r="AL93"/>
      <c r="AN93" s="13"/>
      <c r="AO93" s="14"/>
      <c r="AP93" s="14"/>
      <c r="AQ93" s="14"/>
      <c r="AR93" s="14"/>
    </row>
    <row r="94" spans="3:44">
      <c r="AJ94"/>
      <c r="AK94"/>
      <c r="AL94"/>
      <c r="AN94" s="13"/>
      <c r="AO94" s="14"/>
      <c r="AP94" s="14"/>
      <c r="AQ94" s="14"/>
      <c r="AR94" s="14"/>
    </row>
    <row r="95" spans="3:44">
      <c r="AJ95"/>
      <c r="AK95"/>
      <c r="AL95"/>
      <c r="AN95" s="13"/>
      <c r="AO95" s="14"/>
      <c r="AP95" s="14"/>
      <c r="AQ95" s="14"/>
      <c r="AR95" s="14"/>
    </row>
    <row r="96" spans="3:44">
      <c r="AJ96"/>
      <c r="AK96"/>
      <c r="AL96"/>
      <c r="AN96" s="13"/>
      <c r="AO96" s="14"/>
      <c r="AP96" s="14"/>
      <c r="AQ96" s="14"/>
      <c r="AR96" s="14"/>
    </row>
    <row r="97" spans="40:44" customFormat="1">
      <c r="AN97" s="12"/>
      <c r="AO97" s="12"/>
      <c r="AP97" s="12"/>
      <c r="AQ97" s="12"/>
      <c r="AR97" s="12"/>
    </row>
    <row r="98" spans="40:44" customFormat="1">
      <c r="AN98" s="12"/>
      <c r="AO98" s="12"/>
      <c r="AP98" s="12"/>
      <c r="AQ98" s="12"/>
      <c r="AR98" s="12"/>
    </row>
    <row r="99" spans="40:44" customFormat="1"/>
    <row r="100" spans="40:44" customFormat="1"/>
    <row r="101" spans="40:44" customFormat="1"/>
    <row r="102" spans="40:44" customFormat="1"/>
    <row r="103" spans="40:44" customFormat="1"/>
    <row r="104" spans="40:44" customFormat="1"/>
    <row r="105" spans="40:44" customFormat="1"/>
    <row r="106" spans="40:44" customFormat="1"/>
    <row r="107" spans="40:44" customFormat="1"/>
    <row r="108" spans="40:44" customFormat="1"/>
    <row r="109" spans="40:44" customFormat="1"/>
    <row r="110" spans="40:44" customFormat="1"/>
    <row r="111" spans="40:44" customFormat="1"/>
    <row r="112" spans="40:44" customFormat="1"/>
    <row r="113" spans="40:44" customFormat="1"/>
    <row r="114" spans="40:44" customFormat="1"/>
    <row r="115" spans="40:44" customFormat="1"/>
    <row r="116" spans="40:44" customFormat="1"/>
    <row r="117" spans="40:44" customFormat="1"/>
    <row r="118" spans="40:44" customFormat="1"/>
    <row r="119" spans="40:44" customFormat="1"/>
    <row r="120" spans="40:44" customFormat="1"/>
    <row r="121" spans="40:44" customFormat="1"/>
    <row r="122" spans="40:44" customFormat="1"/>
    <row r="123" spans="40:44" customFormat="1"/>
    <row r="124" spans="40:44" customFormat="1"/>
    <row r="125" spans="40:44" customFormat="1"/>
    <row r="126" spans="40:44">
      <c r="AN126"/>
      <c r="AO126"/>
      <c r="AP126"/>
      <c r="AQ126"/>
      <c r="AR126"/>
    </row>
    <row r="127" spans="40:44" customFormat="1"/>
    <row r="128" spans="40:44" customFormat="1"/>
    <row r="129" spans="40:44">
      <c r="AN129"/>
      <c r="AO129"/>
      <c r="AP129"/>
      <c r="AQ129"/>
      <c r="AR129"/>
    </row>
    <row r="130" spans="40:44" customFormat="1"/>
    <row r="131" spans="40:44">
      <c r="AN131"/>
      <c r="AO131"/>
      <c r="AP131"/>
      <c r="AQ131"/>
      <c r="AR131"/>
    </row>
    <row r="132" spans="40:44">
      <c r="AN132"/>
      <c r="AO132"/>
      <c r="AP132"/>
      <c r="AQ132"/>
      <c r="AR132"/>
    </row>
    <row r="133" spans="40:44">
      <c r="AN133"/>
      <c r="AO133"/>
      <c r="AP133"/>
      <c r="AQ133"/>
      <c r="AR133"/>
    </row>
    <row r="135" spans="40:44">
      <c r="AN135"/>
      <c r="AO135"/>
      <c r="AP135"/>
      <c r="AQ135"/>
      <c r="AR135"/>
    </row>
    <row r="136" spans="40:44">
      <c r="AN136"/>
      <c r="AO136"/>
      <c r="AP136"/>
      <c r="AQ136"/>
      <c r="AR136"/>
    </row>
    <row r="138" spans="40:44">
      <c r="AN138"/>
      <c r="AO138"/>
      <c r="AP138"/>
      <c r="AQ138"/>
      <c r="AR138"/>
    </row>
    <row r="145" spans="40:44" customFormat="1">
      <c r="AN145" s="12"/>
      <c r="AO145" s="12"/>
      <c r="AP145" s="12"/>
      <c r="AQ145" s="12"/>
      <c r="AR145" s="12"/>
    </row>
    <row r="153" spans="40:44">
      <c r="AN153"/>
      <c r="AO153"/>
      <c r="AP153"/>
      <c r="AQ153"/>
      <c r="AR153"/>
    </row>
  </sheetData>
  <mergeCells count="23">
    <mergeCell ref="AO1:AR1"/>
    <mergeCell ref="AO10:AP10"/>
    <mergeCell ref="AQ6:AR6"/>
    <mergeCell ref="AQ8:AR8"/>
    <mergeCell ref="AQ12:AR12"/>
    <mergeCell ref="AQ11:AR11"/>
    <mergeCell ref="AQ10:AR10"/>
    <mergeCell ref="AO8:AP8"/>
    <mergeCell ref="AO9:AP9"/>
    <mergeCell ref="AQ7:AR7"/>
    <mergeCell ref="AQ9:AR9"/>
    <mergeCell ref="AO5:AP5"/>
    <mergeCell ref="AQ5:AR5"/>
    <mergeCell ref="AO4:AP4"/>
    <mergeCell ref="AQ4:AR4"/>
    <mergeCell ref="AO7:AP7"/>
    <mergeCell ref="AK4:AL4"/>
    <mergeCell ref="C2:D2"/>
    <mergeCell ref="L2:M2"/>
    <mergeCell ref="AK2:AL2"/>
    <mergeCell ref="AO12:AP12"/>
    <mergeCell ref="AO6:AP6"/>
    <mergeCell ref="AO11:AP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South_CPUE_2026</vt:lpstr>
      <vt:lpstr>South_Figure</vt:lpstr>
      <vt:lpstr>South_Eval2026</vt:lpstr>
      <vt:lpstr>MED_CPUE_2026</vt:lpstr>
      <vt:lpstr>Med_Figure</vt:lpstr>
      <vt:lpstr>Med_Eval2026</vt:lpstr>
      <vt:lpstr>Comp2020vs2026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Alex.Hanke@dfo-mpo.gc.ca</dc:creator>
  <cp:lastModifiedBy>Ai Kimoto</cp:lastModifiedBy>
  <dcterms:created xsi:type="dcterms:W3CDTF">2016-07-27T07:59:47Z</dcterms:created>
  <dcterms:modified xsi:type="dcterms:W3CDTF">2026-04-20T13:24:13Z</dcterms:modified>
</cp:coreProperties>
</file>