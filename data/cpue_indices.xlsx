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2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Indices" sheetId="1" state="visible" r:id="rId2"/>
    <sheet name="Criteria_from_2014_assessment" sheetId="2" state="visible" r:id="rId3"/>
    <sheet name="MoroccoGN" sheetId="3" state="visible" r:id="rId4"/>
    <sheet name="SicilyGreece" sheetId="4" state="visible" r:id="rId5"/>
    <sheet name="Spanish LL" sheetId="5" state="visible" r:id="rId6"/>
    <sheet name="MoroccoLL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E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David Die:
</t>
        </r>
        <r>
          <rPr>
            <sz val="9"/>
            <color rgb="FF000000"/>
            <rFont val="Tahoma"/>
            <family val="2"/>
            <charset val="1"/>
          </rPr>
          <t xml:space="preserve">Series are currently too short and contain. very few observations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B1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David Die:
</t>
        </r>
        <r>
          <rPr>
            <sz val="9"/>
            <color rgb="FF000000"/>
            <rFont val="Tahoma"/>
            <family val="2"/>
            <charset val="1"/>
          </rPr>
          <t xml:space="preserve">Start 1980
</t>
        </r>
      </text>
    </comment>
    <comment ref="G1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David Die:
</t>
        </r>
        <r>
          <rPr>
            <sz val="9"/>
            <color rgb="FF000000"/>
            <rFont val="Tahoma"/>
            <family val="2"/>
            <charset val="1"/>
          </rPr>
          <t xml:space="preserve">treatment of interactions may be innapropriate (used fixed factors) which cannot then be used to calculate coefficients for year</t>
        </r>
      </text>
    </comment>
  </commentList>
</comments>
</file>

<file path=xl/sharedStrings.xml><?xml version="1.0" encoding="utf-8"?>
<sst xmlns="http://schemas.openxmlformats.org/spreadsheetml/2006/main" count="159" uniqueCount="122">
  <si>
    <t xml:space="preserve">1999-2011</t>
  </si>
  <si>
    <t xml:space="preserve">1988-2015</t>
  </si>
  <si>
    <t xml:space="preserve">2001-2015</t>
  </si>
  <si>
    <t xml:space="preserve">1991-2009</t>
  </si>
  <si>
    <t xml:space="preserve">1990-2009</t>
  </si>
  <si>
    <t xml:space="preserve">1987-2015</t>
  </si>
  <si>
    <t xml:space="preserve">SCRS paper</t>
  </si>
  <si>
    <t xml:space="preserve">Country/Location</t>
  </si>
  <si>
    <t xml:space="preserve">Morocco</t>
  </si>
  <si>
    <t xml:space="preserve">Spain</t>
  </si>
  <si>
    <t xml:space="preserve">Sicily</t>
  </si>
  <si>
    <t xml:space="preserve">Greece</t>
  </si>
  <si>
    <t xml:space="preserve">Liguria</t>
  </si>
  <si>
    <t xml:space="preserve">Gear</t>
  </si>
  <si>
    <t xml:space="preserve">Gillnet</t>
  </si>
  <si>
    <t xml:space="preserve">Longline</t>
  </si>
  <si>
    <t xml:space="preserve">Indices scaled to the mean</t>
  </si>
  <si>
    <t xml:space="preserve">Used in assessment</t>
  </si>
  <si>
    <t xml:space="preserve">yes</t>
  </si>
  <si>
    <t xml:space="preserve">no</t>
  </si>
  <si>
    <t xml:space="preserve">Identifier</t>
  </si>
  <si>
    <t xml:space="preserve">MoGN</t>
  </si>
  <si>
    <t xml:space="preserve">SpLL</t>
  </si>
  <si>
    <t xml:space="preserve">MoLL</t>
  </si>
  <si>
    <t xml:space="preserve">SiLL</t>
  </si>
  <si>
    <t xml:space="preserve">SiGN</t>
  </si>
  <si>
    <t xml:space="preserve">GrLL</t>
  </si>
  <si>
    <t xml:space="preserve">LiLL</t>
  </si>
  <si>
    <t xml:space="preserve">Year</t>
  </si>
  <si>
    <t xml:space="preserve">`</t>
  </si>
  <si>
    <t xml:space="preserve">average</t>
  </si>
  <si>
    <t xml:space="preserve">TYPE OF CRITERIA</t>
  </si>
  <si>
    <t xml:space="preserve">Information content of data</t>
  </si>
  <si>
    <t xml:space="preserve">Appropriateness of method and its application</t>
  </si>
  <si>
    <t xml:space="preserve">Consistency of results with biology &amp;  fishery</t>
  </si>
  <si>
    <t xml:space="preserve">criteria not necessarily equal in importance</t>
  </si>
  <si>
    <t xml:space="preserve">yeaRS</t>
  </si>
  <si>
    <t xml:space="preserve">1988-2013</t>
  </si>
  <si>
    <t xml:space="preserve">2008-2010</t>
  </si>
  <si>
    <t xml:space="preserve">2008-2013</t>
  </si>
  <si>
    <t xml:space="preserve">1987-2013</t>
  </si>
  <si>
    <t xml:space="preserve">ELEMENT</t>
  </si>
  <si>
    <t xml:space="preserve">DESCRIPTION</t>
  </si>
  <si>
    <t xml:space="preserve">SUFFICIENCY SCORE (1 is poor, 3 is best)</t>
  </si>
  <si>
    <t xml:space="preserve">2014/108</t>
  </si>
  <si>
    <t xml:space="preserve">2014/096</t>
  </si>
  <si>
    <t xml:space="preserve">2014/97</t>
  </si>
  <si>
    <t xml:space="preserve">2014/105</t>
  </si>
  <si>
    <t xml:space="preserve">2014/104</t>
  </si>
  <si>
    <t xml:space="preserve">Tserpes et al 2011</t>
  </si>
  <si>
    <t xml:space="preserve">Gill Morocc</t>
  </si>
  <si>
    <t xml:space="preserve">Spain LL</t>
  </si>
  <si>
    <t xml:space="preserve">Gill Turkey</t>
  </si>
  <si>
    <t xml:space="preserve">LL Turkey</t>
  </si>
  <si>
    <t xml:space="preserve">Sicil LL</t>
  </si>
  <si>
    <t xml:space="preserve">Greek LL</t>
  </si>
  <si>
    <t xml:space="preserve">Sicil GN</t>
  </si>
  <si>
    <t xml:space="preserve">Ligurian LL</t>
  </si>
  <si>
    <t xml:space="preserve">Diagnostics</t>
  </si>
  <si>
    <t xml:space="preserve">No Diagnostics or many assumptions clearly violated</t>
  </si>
  <si>
    <t xml:space="preserve">Diagnostics presented but not all assumptions met</t>
  </si>
  <si>
    <t xml:space="preserve">Full Diagnostics and assumptions probably fully met.</t>
  </si>
  <si>
    <t xml:space="preserve">Appropriateness of data exclusions and classifications (e.g. to identify targeted trips).</t>
  </si>
  <si>
    <t xml:space="preserve">Not appropriate or not sufficiently described</t>
  </si>
  <si>
    <t xml:space="preserve">Described but some exclusions not properly justified </t>
  </si>
  <si>
    <t xml:space="preserve">Fully Appropriately described and justified</t>
  </si>
  <si>
    <t xml:space="preserve">Geographical Coverage relative to the entire distribution of the stock. </t>
  </si>
  <si>
    <t xml:space="preserve">Localized fishery/scientific survey, and data represents a small area within it </t>
  </si>
  <si>
    <t xml:space="preserve">Localized fishery but data represents all area or large fishery but data represents only part of it</t>
  </si>
  <si>
    <t xml:space="preserve">Fishery and data represents the major geographic range of population</t>
  </si>
  <si>
    <t xml:space="preserve">Catch Fraction relative to the total catch of the stock. Not applicable to scientific surveys</t>
  </si>
  <si>
    <t xml:space="preserve">Index associated with less than 5% of the catch </t>
  </si>
  <si>
    <t xml:space="preserve">Index associated with between 5% and 20% of the catch </t>
  </si>
  <si>
    <t xml:space="preserve">Index associated with more than 20% of the catch</t>
  </si>
  <si>
    <t xml:space="preserve">Length of Time Series relative to the history of systematic exploitation.</t>
  </si>
  <si>
    <t xml:space="preserve">Less than 25% of the time of exploitation (&lt;10 years)</t>
  </si>
  <si>
    <t xml:space="preserve">extends between 25% and 50% of the time of exploitation (&gt;10 years&lt;15 years)</t>
  </si>
  <si>
    <t xml:space="preserve">Extends for more than 50% of the history of exploitation (&gt;16 years)</t>
  </si>
  <si>
    <t xml:space="preserve">Are other indices available for the same time period?</t>
  </si>
  <si>
    <t xml:space="preserve">More than 3 other indices available for the same period of time</t>
  </si>
  <si>
    <t xml:space="preserve">1 to 3 other indices available for the same period</t>
  </si>
  <si>
    <t xml:space="preserve">It is the only available index for the same period of time</t>
  </si>
  <si>
    <t xml:space="preserve">Does the index standardization account for known factors that influence catchability/selectivity?</t>
  </si>
  <si>
    <t xml:space="preserve">Only spatial and time factors included</t>
  </si>
  <si>
    <t xml:space="preserve">Some gear/vessel/technology or environmental factors included</t>
  </si>
  <si>
    <t xml:space="preserve">Majority of gear/vessel/technology factors included or standard scientific survey</t>
  </si>
  <si>
    <t xml:space="preserve">Are there conflicts between the catch history and the CPUE response?</t>
  </si>
  <si>
    <t xml:space="preserve">Many conflicts for more than one period or for a period of more than 5 years</t>
  </si>
  <si>
    <t xml:space="preserve">Conflict for a short period ( 5 years)</t>
  </si>
  <si>
    <t xml:space="preserve">No conflicts</t>
  </si>
  <si>
    <t xml:space="preserve">Is the interannual variability outside biologically plausible bounds (e.g. SCRS/2012/039)</t>
  </si>
  <si>
    <t xml:space="preserve">More than 50% of annual estimates are outside plausible bounds</t>
  </si>
  <si>
    <t xml:space="preserve">Between 50% and 10% of annual indices outside plausible bounds</t>
  </si>
  <si>
    <t xml:space="preserve">Less than 10% of the annual indices outside plausible bounds</t>
  </si>
  <si>
    <t xml:space="preserve">Are there severe biologically implausible trends in relative abundance in part of the time series (e.g. SCRS/2012/039)</t>
  </si>
  <si>
    <t xml:space="preserve">Severe trend for a period of more than 4 years</t>
  </si>
  <si>
    <t xml:space="preserve">Severe trend for a short time period (4 or less years)</t>
  </si>
  <si>
    <t xml:space="preserve">No severe change</t>
  </si>
  <si>
    <t xml:space="preserve">Assessment of data quality and adequacy of data for standardization purposes (e.g. sampling design, sample size, factors considered)</t>
  </si>
  <si>
    <t xml:space="preserve">Unbalanced data respect to standarization factors: numerous data points for each factor combination  (90% of the cells have less than 10 observations eg. Aggregate data such as monthly cpue used for a model with quarterly time factors)</t>
  </si>
  <si>
    <t xml:space="preserve">Some lack of balance in data respect to standarization factors: numerous data points for each factor combination  (More than 50% of the cells have less than 10 observations)</t>
  </si>
  <si>
    <t xml:space="preserve">Well balanced data respect to standarization factors: numerous data points for each factor combination  (&gt;10 observations for more than 90% of the factorial cells)</t>
  </si>
  <si>
    <t xml:space="preserve">Is this CPUE time series continuous?</t>
  </si>
  <si>
    <t xml:space="preserve">Very Discontinuous more than two breaks in the time series</t>
  </si>
  <si>
    <t xml:space="preserve">one or two breaks in the time series</t>
  </si>
  <si>
    <t xml:space="preserve">Complete</t>
  </si>
  <si>
    <t xml:space="preserve">Were discards included in the estimation of the CPUE?</t>
  </si>
  <si>
    <t xml:space="preserve">Discards not considered and discarding practices probably have changed through the time period of the index</t>
  </si>
  <si>
    <t xml:space="preserve">Discard not considered but discarding practices to have remained constant during the time period covered by the index</t>
  </si>
  <si>
    <t xml:space="preserve">Dead/live accounted for through observers or  no discards exist during the time period of the index</t>
  </si>
  <si>
    <t xml:space="preserve">Std.CPUE</t>
  </si>
  <si>
    <t xml:space="preserve">Upper</t>
  </si>
  <si>
    <t xml:space="preserve">Lower</t>
  </si>
  <si>
    <t xml:space="preserve">CV</t>
  </si>
  <si>
    <t xml:space="preserve">Year </t>
  </si>
  <si>
    <t xml:space="preserve">SIC LL</t>
  </si>
  <si>
    <t xml:space="preserve">originally calculated as n/1000 hooks</t>
  </si>
  <si>
    <t xml:space="preserve">standardized values in weight calculated as the product of standardized CPUE in number times the average weight of fish for each year</t>
  </si>
  <si>
    <t xml:space="preserve">year</t>
  </si>
  <si>
    <t xml:space="preserve">CPUEn</t>
  </si>
  <si>
    <t xml:space="preserve">mean</t>
  </si>
  <si>
    <t xml:space="preserve">Std.cpue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</si>
</sst>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"/>
    <numFmt numFmtId="167" formatCode="0.0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b val="true"/>
      <sz val="11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i val="true"/>
      <sz val="8"/>
      <color rgb="FF000000"/>
      <name val="Arial"/>
      <family val="2"/>
      <charset val="1"/>
    </font>
    <font>
      <b val="true"/>
      <i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AC090"/>
        <bgColor rgb="FFFCD5B5"/>
      </patternFill>
    </fill>
    <fill>
      <patternFill patternType="solid">
        <fgColor rgb="FFFFFF00"/>
        <bgColor rgb="FFFFFF00"/>
      </patternFill>
    </fill>
    <fill>
      <patternFill patternType="solid">
        <fgColor rgb="FFDCE6F2"/>
        <bgColor rgb="FFF2F2F2"/>
      </patternFill>
    </fill>
    <fill>
      <patternFill patternType="solid">
        <fgColor rgb="FFFCD5B5"/>
        <bgColor rgb="FFFAC09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D5B5"/>
      <rgbColor rgb="FF83CAFF"/>
      <rgbColor rgb="FFFF99CC"/>
      <rgbColor rgb="FFCC99FF"/>
      <rgbColor rgb="FFFAC090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Indices!$N$6</c:f>
              <c:strCache>
                <c:ptCount val="1"/>
                <c:pt idx="0">
                  <c:v>MoGN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Indices!$M$7:$M$35</c:f>
              <c:numCache>
                <c:formatCode>General</c:formatCode>
                <c:ptCount val="2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</c:numCache>
            </c:numRef>
          </c:xVal>
          <c:yVal>
            <c:numRef>
              <c:f>Indices!$N$7:$N$35</c:f>
              <c:numCache>
                <c:formatCode>General</c:formatCode>
                <c:ptCount val="2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1.0046016562779</c:v>
                </c:pt>
                <c:pt idx="13">
                  <c:v>1.1497149997546</c:v>
                </c:pt>
                <c:pt idx="14">
                  <c:v>0.744087422183724</c:v>
                </c:pt>
                <c:pt idx="15">
                  <c:v>0.966284145974247</c:v>
                </c:pt>
                <c:pt idx="16">
                  <c:v>0.830862270000093</c:v>
                </c:pt>
                <c:pt idx="17">
                  <c:v>1.00727456991294</c:v>
                </c:pt>
                <c:pt idx="18">
                  <c:v>1.21881412837149</c:v>
                </c:pt>
                <c:pt idx="19">
                  <c:v>1.14097198547739</c:v>
                </c:pt>
                <c:pt idx="20">
                  <c:v>1.08922092858214</c:v>
                </c:pt>
                <c:pt idx="21">
                  <c:v>1.19294722222591</c:v>
                </c:pt>
                <c:pt idx="22">
                  <c:v>0.95848958492238</c:v>
                </c:pt>
                <c:pt idx="23">
                  <c:v>0.89477077278377</c:v>
                </c:pt>
                <c:pt idx="24">
                  <c:v>0.801960313533433</c:v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Indices!$O$6</c:f>
              <c:strCache>
                <c:ptCount val="1"/>
                <c:pt idx="0">
                  <c:v>SpLL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Indices!$M$7:$M$35</c:f>
              <c:numCache>
                <c:formatCode>General</c:formatCode>
                <c:ptCount val="2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</c:numCache>
            </c:numRef>
          </c:xVal>
          <c:yVal>
            <c:numRef>
              <c:f>Indices!$O$7:$O$35</c:f>
              <c:numCache>
                <c:formatCode>General</c:formatCode>
                <c:ptCount val="29"/>
                <c:pt idx="0">
                  <c:v/>
                </c:pt>
                <c:pt idx="1">
                  <c:v>1.27905691655922</c:v>
                </c:pt>
                <c:pt idx="2">
                  <c:v>0.737520722048259</c:v>
                </c:pt>
                <c:pt idx="3">
                  <c:v>0.804568060416283</c:v>
                </c:pt>
                <c:pt idx="4">
                  <c:v>1.04181248848775</c:v>
                </c:pt>
                <c:pt idx="5">
                  <c:v>1.09854485172223</c:v>
                </c:pt>
                <c:pt idx="6">
                  <c:v>1.09338736415546</c:v>
                </c:pt>
                <c:pt idx="7">
                  <c:v>1.21716706575797</c:v>
                </c:pt>
                <c:pt idx="8">
                  <c:v>1.13464726468963</c:v>
                </c:pt>
                <c:pt idx="9">
                  <c:v>0.93866273715233</c:v>
                </c:pt>
                <c:pt idx="10">
                  <c:v>0.918032786885246</c:v>
                </c:pt>
                <c:pt idx="11">
                  <c:v>1.02118253822067</c:v>
                </c:pt>
                <c:pt idx="12">
                  <c:v>0.89224534905139</c:v>
                </c:pt>
                <c:pt idx="13">
                  <c:v>0.799410572849512</c:v>
                </c:pt>
                <c:pt idx="14">
                  <c:v>0.943820224719101</c:v>
                </c:pt>
                <c:pt idx="15">
                  <c:v>1.26358445385891</c:v>
                </c:pt>
                <c:pt idx="16">
                  <c:v>1.01086756308712</c:v>
                </c:pt>
                <c:pt idx="17">
                  <c:v>0.850985448517222</c:v>
                </c:pt>
                <c:pt idx="18">
                  <c:v>0.964450174986185</c:v>
                </c:pt>
                <c:pt idx="19">
                  <c:v>1.02118253822067</c:v>
                </c:pt>
                <c:pt idx="20">
                  <c:v>1.15527721495671</c:v>
                </c:pt>
                <c:pt idx="21">
                  <c:v>1.11401731442255</c:v>
                </c:pt>
                <c:pt idx="22">
                  <c:v>0.820040523116596</c:v>
                </c:pt>
                <c:pt idx="23">
                  <c:v>0.881930373917848</c:v>
                </c:pt>
                <c:pt idx="24">
                  <c:v>0.93866273715233</c:v>
                </c:pt>
                <c:pt idx="25">
                  <c:v>1.09854485172223</c:v>
                </c:pt>
                <c:pt idx="26">
                  <c:v>0.974765150119727</c:v>
                </c:pt>
                <c:pt idx="27">
                  <c:v>0.99023761282004</c:v>
                </c:pt>
                <c:pt idx="28">
                  <c:v>0.995395100386811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Indices!$P$6</c:f>
              <c:strCache>
                <c:ptCount val="1"/>
                <c:pt idx="0">
                  <c:v>MoLL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Indices!$M$7:$M$35</c:f>
              <c:numCache>
                <c:formatCode>General</c:formatCode>
                <c:ptCount val="2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</c:numCache>
            </c:numRef>
          </c:xVal>
          <c:yVal>
            <c:numRef>
              <c:f>Indices!$P$7:$P$35</c:f>
              <c:numCache>
                <c:formatCode>General</c:formatCode>
                <c:ptCount val="2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>0.59660065571642</c:v>
                </c:pt>
                <c:pt idx="15">
                  <c:v>0.71902564934094</c:v>
                </c:pt>
                <c:pt idx="16">
                  <c:v>0.812284231142668</c:v>
                </c:pt>
                <c:pt idx="17">
                  <c:v>0.870707220679968</c:v>
                </c:pt>
                <c:pt idx="18">
                  <c:v>0.687494637007899</c:v>
                </c:pt>
                <c:pt idx="19">
                  <c:v>0.991788742517922</c:v>
                </c:pt>
                <c:pt idx="20">
                  <c:v>0.929109922891632</c:v>
                </c:pt>
                <c:pt idx="21">
                  <c:v>0.746258002786427</c:v>
                </c:pt>
                <c:pt idx="22">
                  <c:v>0.77698203038861</c:v>
                </c:pt>
                <c:pt idx="23">
                  <c:v>0.779197857177528</c:v>
                </c:pt>
                <c:pt idx="24">
                  <c:v>0.905233994765269</c:v>
                </c:pt>
                <c:pt idx="25">
                  <c:v>1.63939398903072</c:v>
                </c:pt>
                <c:pt idx="26">
                  <c:v>1.59675904713287</c:v>
                </c:pt>
                <c:pt idx="27">
                  <c:v>1.43299524630391</c:v>
                </c:pt>
                <c:pt idx="28">
                  <c:v>1.51616877311722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Indices!$Q$6</c:f>
              <c:strCache>
                <c:ptCount val="1"/>
                <c:pt idx="0">
                  <c:v>SiLL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Indices!$M$7:$M$35</c:f>
              <c:numCache>
                <c:formatCode>General</c:formatCode>
                <c:ptCount val="2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</c:numCache>
            </c:numRef>
          </c:xVal>
          <c:yVal>
            <c:numRef>
              <c:f>Indices!$Q$7:$Q$35</c:f>
              <c:numCache>
                <c:formatCode>General</c:formatCode>
                <c:ptCount val="2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0.876972809533954</c:v>
                </c:pt>
                <c:pt idx="5">
                  <c:v>0.86149401227584</c:v>
                </c:pt>
                <c:pt idx="6">
                  <c:v/>
                </c:pt>
                <c:pt idx="7">
                  <c:v>0.869709491500045</c:v>
                </c:pt>
                <c:pt idx="8">
                  <c:v>1.08603625634008</c:v>
                </c:pt>
                <c:pt idx="9">
                  <c:v/>
                </c:pt>
                <c:pt idx="10">
                  <c:v>0.66388138940382</c:v>
                </c:pt>
                <c:pt idx="11">
                  <c:v>1.11609643293627</c:v>
                </c:pt>
                <c:pt idx="12">
                  <c:v>1.32481856177985</c:v>
                </c:pt>
                <c:pt idx="13">
                  <c:v>0.816324347806292</c:v>
                </c:pt>
                <c:pt idx="14">
                  <c:v>1.25889957424579</c:v>
                </c:pt>
                <c:pt idx="15">
                  <c:v>1.79126754546522</c:v>
                </c:pt>
                <c:pt idx="16">
                  <c:v>0.719031267923594</c:v>
                </c:pt>
                <c:pt idx="17">
                  <c:v>0.972295022919123</c:v>
                </c:pt>
                <c:pt idx="18">
                  <c:v>1.07746745745313</c:v>
                </c:pt>
                <c:pt idx="19">
                  <c:v>1.22970666078736</c:v>
                </c:pt>
                <c:pt idx="20">
                  <c:v>0.708857157008243</c:v>
                </c:pt>
                <c:pt idx="21">
                  <c:v>0.760373970946981</c:v>
                </c:pt>
                <c:pt idx="22">
                  <c:v>0.866768041674406</c:v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numCache>
            </c:numRef>
          </c:yVal>
          <c:smooth val="0"/>
        </c:ser>
        <c:ser>
          <c:idx val="4"/>
          <c:order val="4"/>
          <c:tx>
            <c:strRef>
              <c:f>Indices!$R$6</c:f>
              <c:strCache>
                <c:ptCount val="1"/>
                <c:pt idx="0">
                  <c:v>SiGN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Indices!$M$7:$M$35</c:f>
              <c:numCache>
                <c:formatCode>General</c:formatCode>
                <c:ptCount val="2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</c:numCache>
            </c:numRef>
          </c:xVal>
          <c:yVal>
            <c:numRef>
              <c:f>Indices!$R$7:$R$35</c:f>
              <c:numCache>
                <c:formatCode>General</c:formatCode>
                <c:ptCount val="2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0.674126741744608</c:v>
                </c:pt>
                <c:pt idx="4">
                  <c:v>0.794999045619393</c:v>
                </c:pt>
                <c:pt idx="5">
                  <c:v>1.36853407138767</c:v>
                </c:pt>
                <c:pt idx="6">
                  <c:v>1.05783546478336</c:v>
                </c:pt>
                <c:pt idx="7">
                  <c:v>0.76985111662531</c:v>
                </c:pt>
                <c:pt idx="8">
                  <c:v>1.1884424508494</c:v>
                </c:pt>
                <c:pt idx="9">
                  <c:v>0.7568715403703</c:v>
                </c:pt>
                <c:pt idx="10">
                  <c:v>1.13895781637717</c:v>
                </c:pt>
                <c:pt idx="11">
                  <c:v>0.820958198129414</c:v>
                </c:pt>
                <c:pt idx="12">
                  <c:v>1.0310650887574</c:v>
                </c:pt>
                <c:pt idx="13">
                  <c:v>1.21034548577973</c:v>
                </c:pt>
                <c:pt idx="14">
                  <c:v>1.05945791181523</c:v>
                </c:pt>
                <c:pt idx="15">
                  <c:v/>
                </c:pt>
                <c:pt idx="16">
                  <c:v/>
                </c:pt>
                <c:pt idx="17">
                  <c:v>1.22900362664631</c:v>
                </c:pt>
                <c:pt idx="18">
                  <c:v>0.979146783737354</c:v>
                </c:pt>
                <c:pt idx="19">
                  <c:v>2.49370108799389</c:v>
                </c:pt>
                <c:pt idx="20">
                  <c:v/>
                </c:pt>
                <c:pt idx="21">
                  <c:v>0.266892536743653</c:v>
                </c:pt>
                <c:pt idx="22">
                  <c:v>0.159811032639817</c:v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numCache>
            </c:numRef>
          </c:yVal>
          <c:smooth val="0"/>
        </c:ser>
        <c:ser>
          <c:idx val="5"/>
          <c:order val="5"/>
          <c:tx>
            <c:strRef>
              <c:f>Indices!$S$6</c:f>
              <c:strCache>
                <c:ptCount val="1"/>
                <c:pt idx="0">
                  <c:v>GrLL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Indices!$M$7:$M$35</c:f>
              <c:numCache>
                <c:formatCode>General</c:formatCode>
                <c:ptCount val="2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</c:numCache>
            </c:numRef>
          </c:xVal>
          <c:yVal>
            <c:numRef>
              <c:f>Indices!$S$7:$S$35</c:f>
              <c:numCache>
                <c:formatCode>General</c:formatCode>
                <c:ptCount val="29"/>
                <c:pt idx="0">
                  <c:v>1.28100159865003</c:v>
                </c:pt>
                <c:pt idx="1">
                  <c:v>1.5323865402549</c:v>
                </c:pt>
                <c:pt idx="2">
                  <c:v/>
                </c:pt>
                <c:pt idx="3">
                  <c:v>1.40305131222523</c:v>
                </c:pt>
                <c:pt idx="4">
                  <c:v>1.89804998001687</c:v>
                </c:pt>
                <c:pt idx="5">
                  <c:v>0.734934943825214</c:v>
                </c:pt>
                <c:pt idx="6">
                  <c:v>1.29696034459789</c:v>
                </c:pt>
                <c:pt idx="7">
                  <c:v>1.65589335672099</c:v>
                </c:pt>
                <c:pt idx="8">
                  <c:v>1.08325192060038</c:v>
                </c:pt>
                <c:pt idx="9">
                  <c:v/>
                </c:pt>
                <c:pt idx="10">
                  <c:v/>
                </c:pt>
                <c:pt idx="11">
                  <c:v>1.57700164305697</c:v>
                </c:pt>
                <c:pt idx="12">
                  <c:v>1.09421488520805</c:v>
                </c:pt>
                <c:pt idx="13">
                  <c:v>0.780590834406501</c:v>
                </c:pt>
                <c:pt idx="14">
                  <c:v>0.815214374528176</c:v>
                </c:pt>
                <c:pt idx="15">
                  <c:v>0.663883831431236</c:v>
                </c:pt>
                <c:pt idx="16">
                  <c:v>0.800018872951729</c:v>
                </c:pt>
                <c:pt idx="17">
                  <c:v>0.803141236289356</c:v>
                </c:pt>
                <c:pt idx="18">
                  <c:v>0.795508792575159</c:v>
                </c:pt>
                <c:pt idx="19">
                  <c:v>0.856498956436787</c:v>
                </c:pt>
                <c:pt idx="20">
                  <c:v>0.882865580176739</c:v>
                </c:pt>
                <c:pt idx="21">
                  <c:v>0.850046072205693</c:v>
                </c:pt>
                <c:pt idx="22">
                  <c:v>0.724943381144811</c:v>
                </c:pt>
                <c:pt idx="23">
                  <c:v>0.879812602691061</c:v>
                </c:pt>
                <c:pt idx="24">
                  <c:v>0.687683178649141</c:v>
                </c:pt>
                <c:pt idx="25">
                  <c:v>0.676512056485634</c:v>
                </c:pt>
                <c:pt idx="26">
                  <c:v>1.03926129046583</c:v>
                </c:pt>
                <c:pt idx="27">
                  <c:v>0.798353612504996</c:v>
                </c:pt>
                <c:pt idx="28">
                  <c:v>0.669920400550646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Indices!$T$6</c:f>
              <c:strCache>
                <c:ptCount val="1"/>
                <c:pt idx="0">
                  <c:v>LiLL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Indices!$M$7:$M$35</c:f>
              <c:numCache>
                <c:formatCode>General</c:formatCode>
                <c:ptCount val="2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</c:numCache>
            </c:numRef>
          </c:xVal>
          <c:yVal>
            <c:numRef>
              <c:f>Indices!$T$7:$T$35</c:f>
              <c:numCache>
                <c:formatCode>General</c:formatCode>
                <c:ptCount val="2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0.719564465010686</c:v>
                </c:pt>
                <c:pt idx="5">
                  <c:v>0.537636264076392</c:v>
                </c:pt>
                <c:pt idx="6">
                  <c:v>0.559298431278428</c:v>
                </c:pt>
                <c:pt idx="7">
                  <c:v>0.736877865060857</c:v>
                </c:pt>
                <c:pt idx="8">
                  <c:v>0.769587203702869</c:v>
                </c:pt>
                <c:pt idx="9">
                  <c:v>0.767366114382516</c:v>
                </c:pt>
                <c:pt idx="10">
                  <c:v>0.822062630028784</c:v>
                </c:pt>
                <c:pt idx="11">
                  <c:v>1.17887041272739</c:v>
                </c:pt>
                <c:pt idx="12">
                  <c:v>0.828788612215556</c:v>
                </c:pt>
                <c:pt idx="13">
                  <c:v>1.0954484807282</c:v>
                </c:pt>
                <c:pt idx="14">
                  <c:v>1.47727479529565</c:v>
                </c:pt>
                <c:pt idx="15">
                  <c:v>1.14135625890299</c:v>
                </c:pt>
                <c:pt idx="16">
                  <c:v>1.23858034392569</c:v>
                </c:pt>
                <c:pt idx="17">
                  <c:v>0.804076997524157</c:v>
                </c:pt>
                <c:pt idx="18">
                  <c:v>0.657211378730891</c:v>
                </c:pt>
                <c:pt idx="19">
                  <c:v>1.01709915620419</c:v>
                </c:pt>
                <c:pt idx="20">
                  <c:v>1.95207557719424</c:v>
                </c:pt>
                <c:pt idx="21">
                  <c:v>1.69323266711001</c:v>
                </c:pt>
                <c:pt idx="22">
                  <c:v>1.0035923459005</c:v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</c:numCache>
            </c:numRef>
          </c:yVal>
          <c:smooth val="0"/>
        </c:ser>
        <c:axId val="2485791"/>
        <c:axId val="71104103"/>
      </c:scatterChart>
      <c:valAx>
        <c:axId val="24857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1104103"/>
        <c:crosses val="autoZero"/>
        <c:crossBetween val="midCat"/>
      </c:valAx>
      <c:valAx>
        <c:axId val="7110410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48579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435960</xdr:colOff>
      <xdr:row>35</xdr:row>
      <xdr:rowOff>116280</xdr:rowOff>
    </xdr:from>
    <xdr:to>
      <xdr:col>18</xdr:col>
      <xdr:colOff>467640</xdr:colOff>
      <xdr:row>60</xdr:row>
      <xdr:rowOff>128520</xdr:rowOff>
    </xdr:to>
    <xdr:graphicFrame>
      <xdr:nvGraphicFramePr>
        <xdr:cNvPr id="0" name=""/>
        <xdr:cNvGraphicFramePr/>
      </xdr:nvGraphicFramePr>
      <xdr:xfrm>
        <a:off x="8313120" y="6295320"/>
        <a:ext cx="7375320" cy="439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3.8"/>
  <cols>
    <col collapsed="false" hidden="false" max="1" min="1" style="0" width="14.9959514170041"/>
    <col collapsed="false" hidden="false" max="2" min="2" style="0" width="8.57085020242915"/>
    <col collapsed="false" hidden="false" max="3" min="3" style="0" width="12.3198380566802"/>
    <col collapsed="false" hidden="false" max="7" min="4" style="0" width="8.57085020242915"/>
    <col collapsed="false" hidden="false" max="8" min="8" style="0" width="9.85425101214575"/>
    <col collapsed="false" hidden="false" max="10" min="9" style="0" width="8.57085020242915"/>
    <col collapsed="false" hidden="false" max="11" min="11" style="0" width="11.1417004048583"/>
    <col collapsed="false" hidden="false" max="12" min="12" style="0" width="11.4615384615385"/>
    <col collapsed="false" hidden="false" max="1025" min="13" style="0" width="8.57085020242915"/>
  </cols>
  <sheetData>
    <row r="1" customFormat="false" ht="13.8" hidden="false" customHeight="false" outlineLevel="0" collapsed="false">
      <c r="C1" s="0" t="s">
        <v>0</v>
      </c>
      <c r="D1" s="0" t="s">
        <v>1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3</v>
      </c>
    </row>
    <row r="2" customFormat="false" ht="13.8" hidden="false" customHeight="false" outlineLevel="0" collapsed="false">
      <c r="A2" s="0" t="s">
        <v>6</v>
      </c>
    </row>
    <row r="3" customFormat="false" ht="13.8" hidden="false" customHeight="false" outlineLevel="0" collapsed="false">
      <c r="A3" s="0" t="s">
        <v>7</v>
      </c>
      <c r="C3" s="0" t="s">
        <v>8</v>
      </c>
      <c r="D3" s="0" t="s">
        <v>9</v>
      </c>
      <c r="E3" s="0" t="s">
        <v>8</v>
      </c>
      <c r="F3" s="0" t="s">
        <v>10</v>
      </c>
      <c r="G3" s="0" t="s">
        <v>10</v>
      </c>
      <c r="H3" s="0" t="s">
        <v>11</v>
      </c>
      <c r="I3" s="0" t="s">
        <v>12</v>
      </c>
    </row>
    <row r="4" customFormat="false" ht="13.8" hidden="false" customHeight="false" outlineLevel="0" collapsed="false">
      <c r="A4" s="0" t="s">
        <v>13</v>
      </c>
      <c r="C4" s="0" t="s">
        <v>14</v>
      </c>
      <c r="D4" s="0" t="s">
        <v>15</v>
      </c>
      <c r="E4" s="0" t="s">
        <v>15</v>
      </c>
      <c r="F4" s="0" t="s">
        <v>15</v>
      </c>
      <c r="G4" s="0" t="s">
        <v>14</v>
      </c>
      <c r="H4" s="0" t="s">
        <v>15</v>
      </c>
      <c r="I4" s="0" t="s">
        <v>15</v>
      </c>
      <c r="P4" s="0" t="s">
        <v>16</v>
      </c>
    </row>
    <row r="5" customFormat="false" ht="13.8" hidden="false" customHeight="false" outlineLevel="0" collapsed="false">
      <c r="A5" s="0" t="s">
        <v>17</v>
      </c>
      <c r="C5" s="0" t="s">
        <v>18</v>
      </c>
      <c r="D5" s="0" t="s">
        <v>18</v>
      </c>
      <c r="E5" s="0" t="s">
        <v>19</v>
      </c>
      <c r="F5" s="0" t="s">
        <v>18</v>
      </c>
      <c r="G5" s="0" t="s">
        <v>18</v>
      </c>
      <c r="H5" s="0" t="s">
        <v>18</v>
      </c>
      <c r="I5" s="0" t="s">
        <v>18</v>
      </c>
    </row>
    <row r="6" customFormat="false" ht="17.35" hidden="false" customHeight="false" outlineLevel="0" collapsed="false">
      <c r="A6" s="0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M6" s="0" t="s">
        <v>28</v>
      </c>
      <c r="N6" s="0" t="s">
        <v>21</v>
      </c>
      <c r="O6" s="0" t="s">
        <v>22</v>
      </c>
      <c r="P6" s="0" t="s">
        <v>23</v>
      </c>
      <c r="Q6" s="0" t="s">
        <v>24</v>
      </c>
      <c r="R6" s="0" t="s">
        <v>25</v>
      </c>
      <c r="S6" s="0" t="s">
        <v>26</v>
      </c>
      <c r="T6" s="0" t="s">
        <v>27</v>
      </c>
    </row>
    <row r="7" customFormat="false" ht="13.8" hidden="false" customHeight="false" outlineLevel="0" collapsed="false">
      <c r="B7" s="0" t="n">
        <v>1987</v>
      </c>
      <c r="H7" s="2" t="n">
        <f aca="false">SicilyGreece!C3</f>
        <v>184.62</v>
      </c>
      <c r="M7" s="0" t="n">
        <v>1987</v>
      </c>
      <c r="S7" s="0" t="n">
        <f aca="false">H7/H$37</f>
        <v>1.28100159865003</v>
      </c>
    </row>
    <row r="8" customFormat="false" ht="13.8" hidden="false" customHeight="false" outlineLevel="0" collapsed="false">
      <c r="B8" s="0" t="n">
        <v>1988</v>
      </c>
      <c r="C8" s="3"/>
      <c r="D8" s="2" t="n">
        <f aca="false">'Spanish LL'!B5</f>
        <v>2.48</v>
      </c>
      <c r="E8" s="3"/>
      <c r="F8" s="3"/>
      <c r="G8" s="3"/>
      <c r="H8" s="2" t="n">
        <f aca="false">SicilyGreece!C4</f>
        <v>220.85</v>
      </c>
      <c r="I8" s="3"/>
      <c r="M8" s="0" t="n">
        <v>1988</v>
      </c>
      <c r="O8" s="0" t="n">
        <f aca="false">D8/D$37</f>
        <v>1.27905691655922</v>
      </c>
      <c r="S8" s="0" t="n">
        <f aca="false">H8/H$37</f>
        <v>1.5323865402549</v>
      </c>
    </row>
    <row r="9" customFormat="false" ht="13.8" hidden="false" customHeight="false" outlineLevel="0" collapsed="false">
      <c r="B9" s="0" t="n">
        <v>1989</v>
      </c>
      <c r="C9" s="3"/>
      <c r="D9" s="2" t="n">
        <f aca="false">'Spanish LL'!B6</f>
        <v>1.43</v>
      </c>
      <c r="E9" s="3"/>
      <c r="F9" s="3"/>
      <c r="G9" s="3"/>
      <c r="H9" s="4"/>
      <c r="I9" s="3"/>
      <c r="M9" s="0" t="n">
        <v>1989</v>
      </c>
      <c r="O9" s="0" t="n">
        <f aca="false">D9/D$37</f>
        <v>0.737520722048259</v>
      </c>
    </row>
    <row r="10" customFormat="false" ht="13.8" hidden="false" customHeight="false" outlineLevel="0" collapsed="false">
      <c r="B10" s="0" t="n">
        <v>1990</v>
      </c>
      <c r="C10" s="3"/>
      <c r="D10" s="2" t="n">
        <f aca="false">'Spanish LL'!B7</f>
        <v>1.56</v>
      </c>
      <c r="E10" s="3"/>
      <c r="F10" s="3"/>
      <c r="G10" s="2" t="n">
        <v>8.31</v>
      </c>
      <c r="H10" s="2" t="n">
        <f aca="false">SicilyGreece!C6</f>
        <v>202.21</v>
      </c>
      <c r="I10" s="3"/>
      <c r="M10" s="0" t="n">
        <v>1990</v>
      </c>
      <c r="O10" s="0" t="n">
        <f aca="false">D10/D$37</f>
        <v>0.804568060416283</v>
      </c>
      <c r="R10" s="0" t="n">
        <f aca="false">G10/G$37</f>
        <v>0.674126741744608</v>
      </c>
      <c r="S10" s="0" t="n">
        <f aca="false">H10/H$37</f>
        <v>1.40305131222523</v>
      </c>
    </row>
    <row r="11" customFormat="false" ht="13.8" hidden="false" customHeight="false" outlineLevel="0" collapsed="false">
      <c r="B11" s="0" t="n">
        <v>1991</v>
      </c>
      <c r="C11" s="3"/>
      <c r="D11" s="2" t="n">
        <f aca="false">'Spanish LL'!B8</f>
        <v>2.02</v>
      </c>
      <c r="E11" s="3"/>
      <c r="F11" s="2" t="n">
        <f aca="false">SicilyGreece!D7</f>
        <v>100.284984033702</v>
      </c>
      <c r="G11" s="2" t="n">
        <v>9.8</v>
      </c>
      <c r="H11" s="2" t="n">
        <f aca="false">SicilyGreece!C7</f>
        <v>273.55</v>
      </c>
      <c r="I11" s="2" t="n">
        <f aca="false">SicilyGreece!B7</f>
        <v>88.4673357055988</v>
      </c>
      <c r="M11" s="0" t="n">
        <v>1991</v>
      </c>
      <c r="O11" s="0" t="n">
        <f aca="false">D11/D$37</f>
        <v>1.04181248848775</v>
      </c>
      <c r="Q11" s="0" t="n">
        <f aca="false">F11/F$37</f>
        <v>0.876972809533954</v>
      </c>
      <c r="R11" s="0" t="n">
        <f aca="false">G11/G$37</f>
        <v>0.794999045619393</v>
      </c>
      <c r="S11" s="0" t="n">
        <f aca="false">H11/H$37</f>
        <v>1.89804998001687</v>
      </c>
      <c r="T11" s="0" t="n">
        <f aca="false">I11/I$37</f>
        <v>0.719564465010686</v>
      </c>
    </row>
    <row r="12" customFormat="false" ht="13.8" hidden="false" customHeight="false" outlineLevel="0" collapsed="false">
      <c r="B12" s="0" t="n">
        <v>1992</v>
      </c>
      <c r="C12" s="3"/>
      <c r="D12" s="2" t="n">
        <f aca="false">'Spanish LL'!B9</f>
        <v>2.13</v>
      </c>
      <c r="E12" s="3"/>
      <c r="F12" s="2" t="n">
        <f aca="false">SicilyGreece!D8</f>
        <v>98.5149280878218</v>
      </c>
      <c r="G12" s="2" t="n">
        <v>16.87</v>
      </c>
      <c r="H12" s="2" t="n">
        <f aca="false">SicilyGreece!C8</f>
        <v>105.92</v>
      </c>
      <c r="I12" s="2" t="n">
        <f aca="false">SicilyGreece!B8</f>
        <v>66.1000510369058</v>
      </c>
      <c r="M12" s="0" t="n">
        <v>1992</v>
      </c>
      <c r="O12" s="0" t="n">
        <f aca="false">D12/D$37</f>
        <v>1.09854485172223</v>
      </c>
      <c r="Q12" s="0" t="n">
        <f aca="false">F12/F$37</f>
        <v>0.86149401227584</v>
      </c>
      <c r="R12" s="0" t="n">
        <f aca="false">G12/G$37</f>
        <v>1.36853407138767</v>
      </c>
      <c r="S12" s="0" t="n">
        <f aca="false">H12/H$37</f>
        <v>0.734934943825214</v>
      </c>
      <c r="T12" s="0" t="n">
        <f aca="false">I12/I$37</f>
        <v>0.537636264076392</v>
      </c>
    </row>
    <row r="13" customFormat="false" ht="13.8" hidden="false" customHeight="false" outlineLevel="0" collapsed="false">
      <c r="A13" s="5"/>
      <c r="B13" s="0" t="n">
        <v>1993</v>
      </c>
      <c r="C13" s="3"/>
      <c r="D13" s="2" t="n">
        <f aca="false">'Spanish LL'!B10</f>
        <v>2.12</v>
      </c>
      <c r="E13" s="3"/>
      <c r="F13" s="4"/>
      <c r="G13" s="2" t="n">
        <v>13.04</v>
      </c>
      <c r="H13" s="2" t="n">
        <f aca="false">SicilyGreece!C9</f>
        <v>186.92</v>
      </c>
      <c r="I13" s="2" t="n">
        <f aca="false">SicilyGreece!B9</f>
        <v>68.7633207106589</v>
      </c>
      <c r="M13" s="0" t="n">
        <v>1993</v>
      </c>
      <c r="O13" s="0" t="n">
        <f aca="false">D13/D$37</f>
        <v>1.09338736415546</v>
      </c>
      <c r="R13" s="0" t="n">
        <f aca="false">G13/G$37</f>
        <v>1.05783546478336</v>
      </c>
      <c r="S13" s="0" t="n">
        <f aca="false">H13/H$37</f>
        <v>1.29696034459789</v>
      </c>
      <c r="T13" s="0" t="n">
        <f aca="false">I13/I$37</f>
        <v>0.559298431278428</v>
      </c>
    </row>
    <row r="14" customFormat="false" ht="13.8" hidden="false" customHeight="false" outlineLevel="0" collapsed="false">
      <c r="A14" s="5"/>
      <c r="B14" s="0" t="n">
        <v>1994</v>
      </c>
      <c r="C14" s="3"/>
      <c r="D14" s="2" t="n">
        <f aca="false">'Spanish LL'!B11</f>
        <v>2.36</v>
      </c>
      <c r="E14" s="3"/>
      <c r="F14" s="2" t="n">
        <f aca="false">SicilyGreece!D10</f>
        <v>99.4543975831947</v>
      </c>
      <c r="G14" s="2" t="n">
        <v>9.49</v>
      </c>
      <c r="H14" s="2" t="n">
        <f aca="false">SicilyGreece!C10</f>
        <v>238.65</v>
      </c>
      <c r="I14" s="2" t="n">
        <f aca="false">SicilyGreece!B10</f>
        <v>90.5959432854924</v>
      </c>
      <c r="M14" s="0" t="n">
        <v>1994</v>
      </c>
      <c r="O14" s="0" t="n">
        <f aca="false">D14/D$37</f>
        <v>1.21716706575797</v>
      </c>
      <c r="Q14" s="0" t="n">
        <f aca="false">F14/F$37</f>
        <v>0.869709491500045</v>
      </c>
      <c r="R14" s="0" t="n">
        <f aca="false">G14/G$37</f>
        <v>0.76985111662531</v>
      </c>
      <c r="S14" s="0" t="n">
        <f aca="false">H14/H$37</f>
        <v>1.65589335672099</v>
      </c>
      <c r="T14" s="0" t="n">
        <f aca="false">I14/I$37</f>
        <v>0.736877865060857</v>
      </c>
    </row>
    <row r="15" customFormat="false" ht="13.8" hidden="false" customHeight="false" outlineLevel="0" collapsed="false">
      <c r="B15" s="0" t="n">
        <v>1995</v>
      </c>
      <c r="C15" s="3"/>
      <c r="D15" s="2" t="n">
        <f aca="false">'Spanish LL'!B12</f>
        <v>2.2</v>
      </c>
      <c r="E15" s="3"/>
      <c r="F15" s="2" t="n">
        <f aca="false">SicilyGreece!D11</f>
        <v>124.192138505373</v>
      </c>
      <c r="G15" s="2" t="n">
        <v>14.65</v>
      </c>
      <c r="H15" s="2" t="n">
        <f aca="false">SicilyGreece!C11</f>
        <v>156.12</v>
      </c>
      <c r="I15" s="2" t="n">
        <f aca="false">SicilyGreece!B11</f>
        <v>94.6174148603958</v>
      </c>
      <c r="M15" s="0" t="n">
        <v>1995</v>
      </c>
      <c r="O15" s="0" t="n">
        <f aca="false">D15/D$37</f>
        <v>1.13464726468963</v>
      </c>
      <c r="Q15" s="0" t="n">
        <f aca="false">F15/F$37</f>
        <v>1.08603625634008</v>
      </c>
      <c r="R15" s="0" t="n">
        <f aca="false">G15/G$37</f>
        <v>1.1884424508494</v>
      </c>
      <c r="S15" s="0" t="n">
        <f aca="false">H15/H$37</f>
        <v>1.08325192060038</v>
      </c>
      <c r="T15" s="0" t="n">
        <f aca="false">I15/I$37</f>
        <v>0.769587203702869</v>
      </c>
    </row>
    <row r="16" customFormat="false" ht="13.8" hidden="false" customHeight="false" outlineLevel="0" collapsed="false">
      <c r="B16" s="0" t="n">
        <v>1996</v>
      </c>
      <c r="C16" s="3"/>
      <c r="D16" s="2" t="n">
        <f aca="false">'Spanish LL'!B13</f>
        <v>1.82</v>
      </c>
      <c r="E16" s="3"/>
      <c r="F16" s="4"/>
      <c r="G16" s="2" t="n">
        <v>9.33</v>
      </c>
      <c r="H16" s="4"/>
      <c r="I16" s="2" t="n">
        <f aca="false">SicilyGreece!B12</f>
        <v>94.3443415443964</v>
      </c>
      <c r="M16" s="0" t="n">
        <v>1996</v>
      </c>
      <c r="O16" s="0" t="n">
        <f aca="false">D16/D$37</f>
        <v>0.93866273715233</v>
      </c>
      <c r="R16" s="0" t="n">
        <f aca="false">G16/G$37</f>
        <v>0.7568715403703</v>
      </c>
      <c r="T16" s="0" t="n">
        <f aca="false">I16/I$37</f>
        <v>0.767366114382516</v>
      </c>
    </row>
    <row r="17" customFormat="false" ht="13.8" hidden="false" customHeight="false" outlineLevel="0" collapsed="false">
      <c r="B17" s="0" t="n">
        <v>1997</v>
      </c>
      <c r="C17" s="3"/>
      <c r="D17" s="2" t="n">
        <f aca="false">'Spanish LL'!B14</f>
        <v>1.78</v>
      </c>
      <c r="E17" s="3"/>
      <c r="F17" s="2" t="n">
        <f aca="false">SicilyGreece!D13</f>
        <v>75.9172163752887</v>
      </c>
      <c r="G17" s="2" t="n">
        <v>14.04</v>
      </c>
      <c r="H17" s="4"/>
      <c r="I17" s="2" t="n">
        <f aca="false">SicilyGreece!B13</f>
        <v>101.069041341145</v>
      </c>
      <c r="M17" s="0" t="n">
        <v>1997</v>
      </c>
      <c r="O17" s="0" t="n">
        <f aca="false">D17/D$37</f>
        <v>0.918032786885246</v>
      </c>
      <c r="Q17" s="0" t="n">
        <f aca="false">F17/F$37</f>
        <v>0.66388138940382</v>
      </c>
      <c r="R17" s="0" t="n">
        <f aca="false">G17/G$37</f>
        <v>1.13895781637717</v>
      </c>
      <c r="T17" s="0" t="n">
        <f aca="false">I17/I$37</f>
        <v>0.822062630028784</v>
      </c>
    </row>
    <row r="18" customFormat="false" ht="13.8" hidden="false" customHeight="false" outlineLevel="0" collapsed="false">
      <c r="B18" s="0" t="n">
        <v>1998</v>
      </c>
      <c r="C18" s="3"/>
      <c r="D18" s="2" t="n">
        <f aca="false">'Spanish LL'!B15</f>
        <v>1.98</v>
      </c>
      <c r="E18" s="3"/>
      <c r="F18" s="2" t="n">
        <f aca="false">SicilyGreece!D14</f>
        <v>127.629627441433</v>
      </c>
      <c r="G18" s="2" t="n">
        <v>10.12</v>
      </c>
      <c r="H18" s="2" t="n">
        <f aca="false">SicilyGreece!C14</f>
        <v>227.28</v>
      </c>
      <c r="I18" s="2" t="n">
        <f aca="false">SicilyGreece!B14</f>
        <v>144.937013467728</v>
      </c>
      <c r="M18" s="0" t="n">
        <v>1998</v>
      </c>
      <c r="O18" s="0" t="n">
        <f aca="false">D18/D$37</f>
        <v>1.02118253822067</v>
      </c>
      <c r="Q18" s="0" t="n">
        <f aca="false">F18/F$37</f>
        <v>1.11609643293627</v>
      </c>
      <c r="R18" s="0" t="n">
        <f aca="false">G18/G$37</f>
        <v>0.820958198129414</v>
      </c>
      <c r="S18" s="0" t="n">
        <f aca="false">H18/H$37</f>
        <v>1.57700164305697</v>
      </c>
      <c r="T18" s="0" t="n">
        <f aca="false">I18/I$37</f>
        <v>1.17887041272739</v>
      </c>
    </row>
    <row r="19" customFormat="false" ht="13.8" hidden="false" customHeight="false" outlineLevel="0" collapsed="false">
      <c r="B19" s="0" t="n">
        <v>1999</v>
      </c>
      <c r="C19" s="2" t="n">
        <f aca="false">MoroccoGN!B3</f>
        <v>58.256</v>
      </c>
      <c r="D19" s="2" t="n">
        <f aca="false">'Spanish LL'!B16</f>
        <v>1.73</v>
      </c>
      <c r="E19" s="3"/>
      <c r="F19" s="2" t="n">
        <f aca="false">SicilyGreece!D15</f>
        <v>151.497750980728</v>
      </c>
      <c r="G19" s="2" t="n">
        <v>12.71</v>
      </c>
      <c r="H19" s="2" t="n">
        <f aca="false">SicilyGreece!C15</f>
        <v>157.7</v>
      </c>
      <c r="I19" s="2" t="n">
        <f aca="false">SicilyGreece!B15</f>
        <v>101.895971731681</v>
      </c>
      <c r="M19" s="0" t="n">
        <v>1999</v>
      </c>
      <c r="N19" s="0" t="n">
        <f aca="false">C19/C$37</f>
        <v>1.0046016562779</v>
      </c>
      <c r="O19" s="0" t="n">
        <f aca="false">D19/D$37</f>
        <v>0.89224534905139</v>
      </c>
      <c r="Q19" s="0" t="n">
        <f aca="false">F19/F$37</f>
        <v>1.32481856177985</v>
      </c>
      <c r="R19" s="0" t="n">
        <f aca="false">G19/G$37</f>
        <v>1.0310650887574</v>
      </c>
      <c r="S19" s="0" t="n">
        <f aca="false">H19/H$37</f>
        <v>1.09421488520805</v>
      </c>
      <c r="T19" s="0" t="n">
        <f aca="false">I19/I$37</f>
        <v>0.828788612215556</v>
      </c>
    </row>
    <row r="20" customFormat="false" ht="13.8" hidden="false" customHeight="false" outlineLevel="0" collapsed="false">
      <c r="B20" s="0" t="n">
        <v>2000</v>
      </c>
      <c r="C20" s="2" t="n">
        <f aca="false">MoroccoGN!B4</f>
        <v>66.671</v>
      </c>
      <c r="D20" s="2" t="n">
        <f aca="false">'Spanish LL'!B17</f>
        <v>1.55</v>
      </c>
      <c r="E20" s="3"/>
      <c r="F20" s="2" t="n">
        <f aca="false">SicilyGreece!D16</f>
        <v>93.3496150577136</v>
      </c>
      <c r="G20" s="2" t="n">
        <v>14.92</v>
      </c>
      <c r="H20" s="2" t="n">
        <f aca="false">SicilyGreece!C16</f>
        <v>112.5</v>
      </c>
      <c r="I20" s="2" t="n">
        <f aca="false">SicilyGreece!B16</f>
        <v>134.680648093608</v>
      </c>
      <c r="M20" s="0" t="n">
        <v>2000</v>
      </c>
      <c r="N20" s="0" t="n">
        <f aca="false">C20/C$37</f>
        <v>1.1497149997546</v>
      </c>
      <c r="O20" s="0" t="n">
        <f aca="false">D20/D$37</f>
        <v>0.799410572849512</v>
      </c>
      <c r="Q20" s="0" t="n">
        <f aca="false">F20/F$37</f>
        <v>0.816324347806292</v>
      </c>
      <c r="R20" s="0" t="n">
        <f aca="false">G20/G$37</f>
        <v>1.21034548577973</v>
      </c>
      <c r="S20" s="0" t="n">
        <f aca="false">H20/H$37</f>
        <v>0.780590834406501</v>
      </c>
      <c r="T20" s="0" t="n">
        <f aca="false">I20/I$37</f>
        <v>1.0954484807282</v>
      </c>
    </row>
    <row r="21" customFormat="false" ht="13.8" hidden="false" customHeight="false" outlineLevel="0" collapsed="false">
      <c r="B21" s="0" t="n">
        <v>2001</v>
      </c>
      <c r="C21" s="2" t="n">
        <f aca="false">MoroccoGN!B5</f>
        <v>43.149</v>
      </c>
      <c r="D21" s="2" t="n">
        <f aca="false">'Spanish LL'!B18</f>
        <v>1.83</v>
      </c>
      <c r="E21" s="3" t="n">
        <f aca="false">MoroccoLL!B2</f>
        <v>26.4668</v>
      </c>
      <c r="F21" s="2" t="n">
        <f aca="false">SicilyGreece!D17</f>
        <v>143.959678488054</v>
      </c>
      <c r="G21" s="2" t="n">
        <v>13.06</v>
      </c>
      <c r="H21" s="2" t="n">
        <f aca="false">SicilyGreece!C17</f>
        <v>117.49</v>
      </c>
      <c r="I21" s="2" t="n">
        <f aca="false">SicilyGreece!B17</f>
        <v>181.624540398753</v>
      </c>
      <c r="K21" s="0" t="s">
        <v>29</v>
      </c>
      <c r="M21" s="0" t="n">
        <v>2001</v>
      </c>
      <c r="N21" s="0" t="n">
        <f aca="false">C21/C$37</f>
        <v>0.744087422183724</v>
      </c>
      <c r="O21" s="0" t="n">
        <f aca="false">D21/D$37</f>
        <v>0.943820224719101</v>
      </c>
      <c r="P21" s="0" t="n">
        <f aca="false">E21/E$37</f>
        <v>0.59660065571642</v>
      </c>
      <c r="Q21" s="0" t="n">
        <f aca="false">F21/F$37</f>
        <v>1.25889957424579</v>
      </c>
      <c r="R21" s="0" t="n">
        <f aca="false">G21/G$37</f>
        <v>1.05945791181523</v>
      </c>
      <c r="S21" s="0" t="n">
        <f aca="false">H21/H$37</f>
        <v>0.815214374528176</v>
      </c>
      <c r="T21" s="0" t="n">
        <f aca="false">I21/I$37</f>
        <v>1.47727479529565</v>
      </c>
    </row>
    <row r="22" customFormat="false" ht="13.8" hidden="false" customHeight="false" outlineLevel="0" collapsed="false">
      <c r="B22" s="0" t="n">
        <v>2002</v>
      </c>
      <c r="C22" s="2" t="n">
        <f aca="false">MoroccoGN!B6</f>
        <v>56.034</v>
      </c>
      <c r="D22" s="2" t="n">
        <f aca="false">'Spanish LL'!B19</f>
        <v>2.45</v>
      </c>
      <c r="E22" s="3" t="n">
        <f aca="false">MoroccoLL!B3</f>
        <v>31.8979</v>
      </c>
      <c r="F22" s="2" t="n">
        <f aca="false">SicilyGreece!D18</f>
        <v>204.837864120932</v>
      </c>
      <c r="G22" s="4"/>
      <c r="H22" s="2" t="n">
        <f aca="false">SicilyGreece!C18</f>
        <v>95.68</v>
      </c>
      <c r="I22" s="2" t="n">
        <f aca="false">SicilyGreece!B18</f>
        <v>140.324810668017</v>
      </c>
      <c r="M22" s="0" t="n">
        <v>2002</v>
      </c>
      <c r="N22" s="0" t="n">
        <f aca="false">C22/C$37</f>
        <v>0.966284145974247</v>
      </c>
      <c r="O22" s="0" t="n">
        <f aca="false">D22/D$37</f>
        <v>1.26358445385891</v>
      </c>
      <c r="P22" s="0" t="n">
        <f aca="false">E22/E$37</f>
        <v>0.71902564934094</v>
      </c>
      <c r="Q22" s="0" t="n">
        <f aca="false">F22/F$37</f>
        <v>1.79126754546522</v>
      </c>
      <c r="S22" s="0" t="n">
        <f aca="false">H22/H$37</f>
        <v>0.663883831431236</v>
      </c>
      <c r="T22" s="0" t="n">
        <f aca="false">I22/I$37</f>
        <v>1.14135625890299</v>
      </c>
    </row>
    <row r="23" customFormat="false" ht="13.8" hidden="false" customHeight="false" outlineLevel="0" collapsed="false">
      <c r="B23" s="0" t="n">
        <v>2003</v>
      </c>
      <c r="C23" s="2" t="n">
        <f aca="false">MoroccoGN!B7</f>
        <v>48.181</v>
      </c>
      <c r="D23" s="2" t="n">
        <f aca="false">'Spanish LL'!B20</f>
        <v>1.96</v>
      </c>
      <c r="E23" s="3" t="n">
        <f aca="false">MoroccoLL!B4</f>
        <v>36.0351</v>
      </c>
      <c r="F23" s="2" t="n">
        <f aca="false">SicilyGreece!D19</f>
        <v>82.2238026533231</v>
      </c>
      <c r="G23" s="4"/>
      <c r="H23" s="2" t="n">
        <f aca="false">SicilyGreece!C19</f>
        <v>115.3</v>
      </c>
      <c r="I23" s="2" t="n">
        <f aca="false">SicilyGreece!B19</f>
        <v>152.278091001621</v>
      </c>
      <c r="M23" s="0" t="n">
        <v>2003</v>
      </c>
      <c r="N23" s="0" t="n">
        <f aca="false">C23/C$37</f>
        <v>0.830862270000093</v>
      </c>
      <c r="O23" s="0" t="n">
        <f aca="false">D23/D$37</f>
        <v>1.01086756308712</v>
      </c>
      <c r="P23" s="0" t="n">
        <f aca="false">E23/E$37</f>
        <v>0.812284231142668</v>
      </c>
      <c r="Q23" s="0" t="n">
        <f aca="false">F23/F$37</f>
        <v>0.719031267923594</v>
      </c>
      <c r="S23" s="0" t="n">
        <f aca="false">H23/H$37</f>
        <v>0.800018872951729</v>
      </c>
      <c r="T23" s="0" t="n">
        <f aca="false">I23/I$37</f>
        <v>1.23858034392569</v>
      </c>
    </row>
    <row r="24" customFormat="false" ht="13.8" hidden="false" customHeight="false" outlineLevel="0" collapsed="false">
      <c r="B24" s="0" t="n">
        <v>2004</v>
      </c>
      <c r="C24" s="2" t="n">
        <f aca="false">MoroccoGN!B8</f>
        <v>58.411</v>
      </c>
      <c r="D24" s="2" t="n">
        <f aca="false">'Spanish LL'!B21</f>
        <v>1.65</v>
      </c>
      <c r="E24" s="3" t="n">
        <f aca="false">MoroccoLL!B5</f>
        <v>38.6269</v>
      </c>
      <c r="F24" s="2" t="n">
        <f aca="false">SicilyGreece!D20</f>
        <v>111.185420790081</v>
      </c>
      <c r="G24" s="6" t="n">
        <v>15.15</v>
      </c>
      <c r="H24" s="2" t="n">
        <f aca="false">SicilyGreece!C20</f>
        <v>115.75</v>
      </c>
      <c r="I24" s="2" t="n">
        <f aca="false">SicilyGreece!B20</f>
        <v>98.8577856913253</v>
      </c>
      <c r="M24" s="0" t="n">
        <v>2004</v>
      </c>
      <c r="N24" s="0" t="n">
        <f aca="false">C24/C$37</f>
        <v>1.00727456991294</v>
      </c>
      <c r="O24" s="0" t="n">
        <f aca="false">D24/D$37</f>
        <v>0.850985448517222</v>
      </c>
      <c r="P24" s="0" t="n">
        <f aca="false">E24/E$37</f>
        <v>0.870707220679968</v>
      </c>
      <c r="Q24" s="0" t="n">
        <f aca="false">F24/F$37</f>
        <v>0.972295022919123</v>
      </c>
      <c r="R24" s="0" t="n">
        <f aca="false">G24/G$37</f>
        <v>1.22900362664631</v>
      </c>
      <c r="S24" s="0" t="n">
        <f aca="false">H24/H$37</f>
        <v>0.803141236289356</v>
      </c>
      <c r="T24" s="0" t="n">
        <f aca="false">I24/I$37</f>
        <v>0.804076997524157</v>
      </c>
    </row>
    <row r="25" customFormat="false" ht="13.8" hidden="false" customHeight="false" outlineLevel="0" collapsed="false">
      <c r="B25" s="0" t="n">
        <v>2005</v>
      </c>
      <c r="C25" s="2" t="n">
        <f aca="false">MoroccoGN!B9</f>
        <v>70.678</v>
      </c>
      <c r="D25" s="2" t="n">
        <f aca="false">'Spanish LL'!B22</f>
        <v>1.87</v>
      </c>
      <c r="E25" s="3" t="n">
        <f aca="false">MoroccoLL!B6</f>
        <v>30.4991</v>
      </c>
      <c r="F25" s="2" t="n">
        <f aca="false">SicilyGreece!D21</f>
        <v>123.212265640189</v>
      </c>
      <c r="G25" s="6" t="n">
        <v>12.07</v>
      </c>
      <c r="H25" s="2" t="n">
        <f aca="false">SicilyGreece!C21</f>
        <v>114.65</v>
      </c>
      <c r="I25" s="2" t="n">
        <f aca="false">SicilyGreece!B21</f>
        <v>80.801293697656</v>
      </c>
      <c r="M25" s="0" t="n">
        <v>2005</v>
      </c>
      <c r="N25" s="0" t="n">
        <f aca="false">C25/C$37</f>
        <v>1.21881412837149</v>
      </c>
      <c r="O25" s="0" t="n">
        <f aca="false">D25/D$37</f>
        <v>0.964450174986185</v>
      </c>
      <c r="P25" s="0" t="n">
        <f aca="false">E25/E$37</f>
        <v>0.687494637007899</v>
      </c>
      <c r="Q25" s="0" t="n">
        <f aca="false">F25/F$37</f>
        <v>1.07746745745313</v>
      </c>
      <c r="R25" s="0" t="n">
        <f aca="false">G25/G$37</f>
        <v>0.979146783737354</v>
      </c>
      <c r="S25" s="0" t="n">
        <f aca="false">H25/H$37</f>
        <v>0.795508792575159</v>
      </c>
      <c r="T25" s="0" t="n">
        <f aca="false">I25/I$37</f>
        <v>0.657211378730891</v>
      </c>
    </row>
    <row r="26" customFormat="false" ht="13.8" hidden="false" customHeight="false" outlineLevel="0" collapsed="false">
      <c r="B26" s="0" t="n">
        <v>2006</v>
      </c>
      <c r="C26" s="2" t="n">
        <f aca="false">MoroccoGN!B10</f>
        <v>66.164</v>
      </c>
      <c r="D26" s="2" t="n">
        <f aca="false">'Spanish LL'!B23</f>
        <v>1.98</v>
      </c>
      <c r="E26" s="3" t="n">
        <f aca="false">MoroccoLL!B7</f>
        <v>43.9984</v>
      </c>
      <c r="F26" s="2" t="n">
        <f aca="false">SicilyGreece!D22</f>
        <v>140.621364200258</v>
      </c>
      <c r="G26" s="6" t="n">
        <v>30.74</v>
      </c>
      <c r="H26" s="2" t="n">
        <f aca="false">SicilyGreece!C22</f>
        <v>123.44</v>
      </c>
      <c r="I26" s="2" t="n">
        <f aca="false">SicilyGreece!B22</f>
        <v>125.047937847321</v>
      </c>
      <c r="M26" s="0" t="n">
        <v>2006</v>
      </c>
      <c r="N26" s="0" t="n">
        <f aca="false">C26/C$37</f>
        <v>1.14097198547739</v>
      </c>
      <c r="O26" s="0" t="n">
        <f aca="false">D26/D$37</f>
        <v>1.02118253822067</v>
      </c>
      <c r="P26" s="0" t="n">
        <f aca="false">E26/E$37</f>
        <v>0.991788742517922</v>
      </c>
      <c r="Q26" s="0" t="n">
        <f aca="false">F26/F$37</f>
        <v>1.22970666078736</v>
      </c>
      <c r="R26" s="0" t="n">
        <f aca="false">G26/G$37</f>
        <v>2.49370108799389</v>
      </c>
      <c r="S26" s="0" t="n">
        <f aca="false">H26/H$37</f>
        <v>0.856498956436787</v>
      </c>
      <c r="T26" s="0" t="n">
        <f aca="false">I26/I$37</f>
        <v>1.01709915620419</v>
      </c>
    </row>
    <row r="27" customFormat="false" ht="13.8" hidden="false" customHeight="false" outlineLevel="0" collapsed="false">
      <c r="B27" s="0" t="n">
        <v>2007</v>
      </c>
      <c r="C27" s="2" t="n">
        <f aca="false">MoroccoGN!B11</f>
        <v>63.163</v>
      </c>
      <c r="D27" s="2" t="n">
        <f aca="false">'Spanish LL'!B24</f>
        <v>2.24</v>
      </c>
      <c r="E27" s="3" t="n">
        <f aca="false">MoroccoLL!B8</f>
        <v>41.2178</v>
      </c>
      <c r="F27" s="2" t="n">
        <f aca="false">SicilyGreece!D23</f>
        <v>81.0603566039007</v>
      </c>
      <c r="G27" s="6"/>
      <c r="H27" s="2" t="n">
        <f aca="false">SicilyGreece!C23</f>
        <v>127.24</v>
      </c>
      <c r="I27" s="2" t="n">
        <f aca="false">SicilyGreece!B23</f>
        <v>239.99924094053</v>
      </c>
      <c r="M27" s="0" t="n">
        <v>2007</v>
      </c>
      <c r="N27" s="0" t="n">
        <f aca="false">C27/C$37</f>
        <v>1.08922092858214</v>
      </c>
      <c r="O27" s="0" t="n">
        <f aca="false">D27/D$37</f>
        <v>1.15527721495671</v>
      </c>
      <c r="P27" s="0" t="n">
        <f aca="false">E27/E$37</f>
        <v>0.929109922891632</v>
      </c>
      <c r="Q27" s="0" t="n">
        <f aca="false">F27/F$37</f>
        <v>0.708857157008243</v>
      </c>
      <c r="S27" s="0" t="n">
        <f aca="false">H27/H$37</f>
        <v>0.882865580176739</v>
      </c>
      <c r="T27" s="0" t="n">
        <f aca="false">I27/I$37</f>
        <v>1.95207557719424</v>
      </c>
    </row>
    <row r="28" customFormat="false" ht="13.8" hidden="false" customHeight="false" outlineLevel="0" collapsed="false">
      <c r="B28" s="0" t="n">
        <v>2008</v>
      </c>
      <c r="C28" s="2" t="n">
        <f aca="false">MoroccoGN!B12</f>
        <v>69.178</v>
      </c>
      <c r="D28" s="2" t="n">
        <f aca="false">'Spanish LL'!B25</f>
        <v>2.16</v>
      </c>
      <c r="E28" s="3" t="n">
        <f aca="false">MoroccoLL!B9</f>
        <v>33.106</v>
      </c>
      <c r="F28" s="2" t="n">
        <f aca="false">SicilyGreece!D24</f>
        <v>86.9514889253909</v>
      </c>
      <c r="G28" s="6" t="n">
        <v>3.29</v>
      </c>
      <c r="H28" s="2" t="n">
        <f aca="false">SicilyGreece!C24</f>
        <v>122.51</v>
      </c>
      <c r="I28" s="2" t="n">
        <f aca="false">SicilyGreece!B24</f>
        <v>208.175625774799</v>
      </c>
      <c r="M28" s="0" t="n">
        <v>2008</v>
      </c>
      <c r="N28" s="0" t="n">
        <f aca="false">C28/C$37</f>
        <v>1.19294722222591</v>
      </c>
      <c r="O28" s="0" t="n">
        <f aca="false">D28/D$37</f>
        <v>1.11401731442255</v>
      </c>
      <c r="P28" s="0" t="n">
        <f aca="false">E28/E$37</f>
        <v>0.746258002786427</v>
      </c>
      <c r="Q28" s="0" t="n">
        <f aca="false">F28/F$37</f>
        <v>0.760373970946981</v>
      </c>
      <c r="R28" s="0" t="n">
        <f aca="false">G28/G$37</f>
        <v>0.266892536743653</v>
      </c>
      <c r="S28" s="0" t="n">
        <f aca="false">H28/H$37</f>
        <v>0.850046072205693</v>
      </c>
      <c r="T28" s="0" t="n">
        <f aca="false">I28/I$37</f>
        <v>1.69323266711001</v>
      </c>
    </row>
    <row r="29" customFormat="false" ht="13.8" hidden="false" customHeight="false" outlineLevel="0" collapsed="false">
      <c r="B29" s="0" t="n">
        <v>2009</v>
      </c>
      <c r="C29" s="2" t="n">
        <f aca="false">MoroccoGN!B13</f>
        <v>55.582</v>
      </c>
      <c r="D29" s="2" t="n">
        <f aca="false">'Spanish LL'!B26</f>
        <v>1.59</v>
      </c>
      <c r="E29" s="3" t="n">
        <f aca="false">MoroccoLL!B10</f>
        <v>34.469</v>
      </c>
      <c r="F29" s="2" t="n">
        <f aca="false">SicilyGreece!D25</f>
        <v>99.1180322528295</v>
      </c>
      <c r="G29" s="6" t="n">
        <v>1.97</v>
      </c>
      <c r="H29" s="2" t="n">
        <f aca="false">SicilyGreece!C25</f>
        <v>104.48</v>
      </c>
      <c r="I29" s="2" t="n">
        <f aca="false">SicilyGreece!B25</f>
        <v>123.387333996587</v>
      </c>
      <c r="M29" s="0" t="n">
        <v>2009</v>
      </c>
      <c r="N29" s="0" t="n">
        <f aca="false">C29/C$37</f>
        <v>0.95848958492238</v>
      </c>
      <c r="O29" s="0" t="n">
        <f aca="false">D29/D$37</f>
        <v>0.820040523116596</v>
      </c>
      <c r="P29" s="0" t="n">
        <f aca="false">E29/E$37</f>
        <v>0.77698203038861</v>
      </c>
      <c r="Q29" s="0" t="n">
        <f aca="false">F29/F$37</f>
        <v>0.866768041674406</v>
      </c>
      <c r="R29" s="0" t="n">
        <f aca="false">G29/G$37</f>
        <v>0.159811032639817</v>
      </c>
      <c r="S29" s="0" t="n">
        <f aca="false">H29/H$37</f>
        <v>0.724943381144811</v>
      </c>
      <c r="T29" s="0" t="n">
        <f aca="false">I29/I$37</f>
        <v>1.0035923459005</v>
      </c>
    </row>
    <row r="30" customFormat="false" ht="13.8" hidden="false" customHeight="false" outlineLevel="0" collapsed="false">
      <c r="B30" s="0" t="n">
        <v>2010</v>
      </c>
      <c r="C30" s="2" t="n">
        <f aca="false">MoroccoGN!B14</f>
        <v>51.887</v>
      </c>
      <c r="D30" s="2" t="n">
        <f aca="false">'Spanish LL'!B27</f>
        <v>1.71</v>
      </c>
      <c r="E30" s="3" t="n">
        <f aca="false">MoroccoLL!B11</f>
        <v>34.5673</v>
      </c>
      <c r="F30" s="3"/>
      <c r="G30" s="3"/>
      <c r="H30" s="2" t="n">
        <f aca="false">SicilyGreece!C26</f>
        <v>126.8</v>
      </c>
      <c r="I30" s="3"/>
      <c r="M30" s="0" t="n">
        <v>2010</v>
      </c>
      <c r="N30" s="0" t="n">
        <f aca="false">C30/C$37</f>
        <v>0.89477077278377</v>
      </c>
      <c r="O30" s="0" t="n">
        <f aca="false">D30/D$37</f>
        <v>0.881930373917848</v>
      </c>
      <c r="P30" s="0" t="n">
        <f aca="false">E30/E$37</f>
        <v>0.779197857177528</v>
      </c>
      <c r="S30" s="0" t="n">
        <f aca="false">H30/H$37</f>
        <v>0.879812602691061</v>
      </c>
    </row>
    <row r="31" customFormat="false" ht="13.8" hidden="false" customHeight="false" outlineLevel="0" collapsed="false">
      <c r="B31" s="0" t="n">
        <v>2011</v>
      </c>
      <c r="C31" s="2" t="n">
        <f aca="false">MoroccoGN!B15</f>
        <v>46.505</v>
      </c>
      <c r="D31" s="2" t="n">
        <f aca="false">'Spanish LL'!B28</f>
        <v>1.82</v>
      </c>
      <c r="E31" s="3" t="n">
        <f aca="false">MoroccoLL!B12</f>
        <v>40.1586</v>
      </c>
      <c r="F31" s="3"/>
      <c r="G31" s="3"/>
      <c r="H31" s="2" t="n">
        <f aca="false">SicilyGreece!C27</f>
        <v>99.11</v>
      </c>
      <c r="I31" s="3"/>
      <c r="M31" s="0" t="n">
        <v>2011</v>
      </c>
      <c r="N31" s="0" t="n">
        <f aca="false">C31/C$37</f>
        <v>0.801960313533433</v>
      </c>
      <c r="O31" s="0" t="n">
        <f aca="false">D31/D$37</f>
        <v>0.93866273715233</v>
      </c>
      <c r="P31" s="0" t="n">
        <f aca="false">E31/E$37</f>
        <v>0.905233994765269</v>
      </c>
      <c r="S31" s="0" t="n">
        <f aca="false">H31/H$37</f>
        <v>0.687683178649141</v>
      </c>
    </row>
    <row r="32" customFormat="false" ht="13.8" hidden="false" customHeight="false" outlineLevel="0" collapsed="false">
      <c r="B32" s="0" t="n">
        <v>2012</v>
      </c>
      <c r="C32" s="3"/>
      <c r="D32" s="2" t="n">
        <f aca="false">'Spanish LL'!B29</f>
        <v>2.13</v>
      </c>
      <c r="E32" s="3" t="n">
        <f aca="false">MoroccoLL!B13</f>
        <v>72.7279</v>
      </c>
      <c r="F32" s="3"/>
      <c r="G32" s="3"/>
      <c r="H32" s="2" t="n">
        <f aca="false">SicilyGreece!C28</f>
        <v>97.5</v>
      </c>
      <c r="I32" s="3"/>
      <c r="M32" s="0" t="n">
        <v>2012</v>
      </c>
      <c r="O32" s="0" t="n">
        <f aca="false">D32/D$37</f>
        <v>1.09854485172223</v>
      </c>
      <c r="P32" s="0" t="n">
        <f aca="false">E32/E$37</f>
        <v>1.63939398903072</v>
      </c>
      <c r="S32" s="0" t="n">
        <f aca="false">H32/H$37</f>
        <v>0.676512056485634</v>
      </c>
    </row>
    <row r="33" customFormat="false" ht="13.8" hidden="false" customHeight="false" outlineLevel="0" collapsed="false">
      <c r="B33" s="0" t="n">
        <v>2013</v>
      </c>
      <c r="C33" s="3"/>
      <c r="D33" s="2" t="n">
        <f aca="false">'Spanish LL'!B30</f>
        <v>1.89</v>
      </c>
      <c r="E33" s="3" t="n">
        <f aca="false">MoroccoLL!B14</f>
        <v>70.8365</v>
      </c>
      <c r="F33" s="3"/>
      <c r="G33" s="3"/>
      <c r="H33" s="2" t="n">
        <f aca="false">SicilyGreece!C29</f>
        <v>149.78</v>
      </c>
      <c r="I33" s="3"/>
      <c r="M33" s="0" t="n">
        <v>2013</v>
      </c>
      <c r="O33" s="0" t="n">
        <f aca="false">D33/D$37</f>
        <v>0.974765150119727</v>
      </c>
      <c r="P33" s="0" t="n">
        <f aca="false">E33/E$37</f>
        <v>1.59675904713287</v>
      </c>
      <c r="S33" s="0" t="n">
        <f aca="false">H33/H$37</f>
        <v>1.03926129046583</v>
      </c>
    </row>
    <row r="34" customFormat="false" ht="13.8" hidden="false" customHeight="false" outlineLevel="0" collapsed="false">
      <c r="B34" s="0" t="n">
        <v>2014</v>
      </c>
      <c r="C34" s="3"/>
      <c r="D34" s="2" t="n">
        <f aca="false">'Spanish LL'!B31</f>
        <v>1.92</v>
      </c>
      <c r="E34" s="3" t="n">
        <f aca="false">MoroccoLL!B15</f>
        <v>63.5715</v>
      </c>
      <c r="F34" s="3"/>
      <c r="G34" s="3"/>
      <c r="H34" s="2" t="n">
        <f aca="false">SicilyGreece!C30</f>
        <v>115.06</v>
      </c>
      <c r="I34" s="3"/>
      <c r="M34" s="0" t="n">
        <v>2014</v>
      </c>
      <c r="O34" s="0" t="n">
        <f aca="false">D34/D$37</f>
        <v>0.99023761282004</v>
      </c>
      <c r="P34" s="0" t="n">
        <f aca="false">E34/E$37</f>
        <v>1.43299524630391</v>
      </c>
      <c r="S34" s="0" t="n">
        <f aca="false">H34/H$37</f>
        <v>0.798353612504996</v>
      </c>
    </row>
    <row r="35" customFormat="false" ht="13.8" hidden="false" customHeight="false" outlineLevel="0" collapsed="false">
      <c r="B35" s="0" t="n">
        <v>2015</v>
      </c>
      <c r="D35" s="2" t="n">
        <f aca="false">'Spanish LL'!B32</f>
        <v>1.93</v>
      </c>
      <c r="E35" s="3" t="n">
        <f aca="false">MoroccoLL!B16</f>
        <v>67.2613</v>
      </c>
      <c r="H35" s="2" t="n">
        <f aca="false">SicilyGreece!C31</f>
        <v>96.55</v>
      </c>
      <c r="M35" s="0" t="n">
        <v>2015</v>
      </c>
      <c r="O35" s="0" t="n">
        <f aca="false">D35/D$37</f>
        <v>0.995395100386811</v>
      </c>
      <c r="P35" s="0" t="n">
        <f aca="false">E35/E$37</f>
        <v>1.51616877311722</v>
      </c>
      <c r="S35" s="0" t="n">
        <f aca="false">H35/H$37</f>
        <v>0.669920400550646</v>
      </c>
    </row>
    <row r="37" customFormat="false" ht="13.8" hidden="false" customHeight="false" outlineLevel="0" collapsed="false">
      <c r="B37" s="0" t="s">
        <v>30</v>
      </c>
      <c r="C37" s="0" t="n">
        <f aca="false">AVERAGE(C7:C33)</f>
        <v>57.9891538461538</v>
      </c>
      <c r="D37" s="0" t="n">
        <f aca="false">AVERAGE(D8:D35)</f>
        <v>1.93892857142857</v>
      </c>
      <c r="E37" s="0" t="n">
        <f aca="false">AVERAGE(E8:E35)</f>
        <v>44.3626733333333</v>
      </c>
      <c r="F37" s="0" t="n">
        <f aca="false">AVERAGE(F8:F35)</f>
        <v>114.353584220013</v>
      </c>
      <c r="G37" s="0" t="n">
        <f aca="false">AVERAGE(G8:G35)</f>
        <v>12.3270588235294</v>
      </c>
      <c r="H37" s="0" t="n">
        <f aca="false">AVERAGE(H8:H35)</f>
        <v>144.1216</v>
      </c>
      <c r="I37" s="0" t="n">
        <f aca="false">AVERAGE(I8:I35)</f>
        <v>122.945670620748</v>
      </c>
    </row>
    <row r="77" customFormat="false" ht="13.8" hidden="false" customHeight="false" outlineLevel="0" collapsed="false">
      <c r="D77" s="7"/>
      <c r="E77" s="7" t="s">
        <v>21</v>
      </c>
      <c r="F77" s="7" t="s">
        <v>24</v>
      </c>
      <c r="G77" s="7" t="s">
        <v>25</v>
      </c>
      <c r="H77" s="7" t="s">
        <v>26</v>
      </c>
      <c r="I77" s="7" t="s">
        <v>27</v>
      </c>
    </row>
    <row r="78" customFormat="false" ht="13.8" hidden="false" customHeight="false" outlineLevel="0" collapsed="false">
      <c r="D78" s="8" t="s">
        <v>21</v>
      </c>
      <c r="E78" s="9" t="n">
        <v>1</v>
      </c>
      <c r="F78" s="9"/>
      <c r="G78" s="9"/>
      <c r="H78" s="9"/>
      <c r="I78" s="9"/>
    </row>
    <row r="79" customFormat="false" ht="13.8" hidden="false" customHeight="false" outlineLevel="0" collapsed="false">
      <c r="D79" s="8" t="s">
        <v>22</v>
      </c>
      <c r="E79" s="9" t="n">
        <v>0.235903847590152</v>
      </c>
      <c r="F79" s="9"/>
      <c r="G79" s="9"/>
      <c r="H79" s="9"/>
      <c r="I79" s="9"/>
    </row>
    <row r="80" customFormat="false" ht="13.8" hidden="false" customHeight="false" outlineLevel="0" collapsed="false">
      <c r="D80" s="8" t="s">
        <v>24</v>
      </c>
      <c r="E80" s="9" t="n">
        <v>-0.207882115769728</v>
      </c>
      <c r="F80" s="9" t="n">
        <v>1</v>
      </c>
      <c r="G80" s="9"/>
      <c r="H80" s="9"/>
      <c r="I80" s="9"/>
    </row>
    <row r="81" customFormat="false" ht="13.8" hidden="false" customHeight="false" outlineLevel="0" collapsed="false">
      <c r="D81" s="8" t="s">
        <v>25</v>
      </c>
      <c r="E81" s="9" t="n">
        <v>0.121362488727723</v>
      </c>
      <c r="F81" s="9" t="n">
        <v>0.400852171133311</v>
      </c>
      <c r="G81" s="9" t="n">
        <v>1</v>
      </c>
      <c r="H81" s="9"/>
      <c r="I81" s="9"/>
    </row>
    <row r="82" customFormat="false" ht="13.8" hidden="false" customHeight="false" outlineLevel="0" collapsed="false">
      <c r="D82" s="8" t="s">
        <v>26</v>
      </c>
      <c r="E82" s="9" t="n">
        <v>0.230919808859977</v>
      </c>
      <c r="F82" s="9" t="n">
        <v>-0.0732653157287075</v>
      </c>
      <c r="G82" s="9" t="n">
        <v>-0.200374208499174</v>
      </c>
      <c r="H82" s="9" t="n">
        <v>1</v>
      </c>
      <c r="I82" s="9"/>
    </row>
    <row r="83" customFormat="false" ht="13.8" hidden="false" customHeight="false" outlineLevel="0" collapsed="false">
      <c r="D83" s="10" t="s">
        <v>27</v>
      </c>
      <c r="E83" s="11" t="n">
        <v>-0.104785720007647</v>
      </c>
      <c r="F83" s="11" t="n">
        <v>-0.0981553073129984</v>
      </c>
      <c r="G83" s="11" t="n">
        <v>-0.23459969902097</v>
      </c>
      <c r="H83" s="11" t="n">
        <v>0.0922578334993838</v>
      </c>
      <c r="I83" s="11" t="n">
        <v>1</v>
      </c>
    </row>
    <row r="102" customFormat="false" ht="13.8" hidden="false" customHeight="false" outlineLevel="0" collapsed="false">
      <c r="B102" s="0" t="n">
        <v>1999</v>
      </c>
      <c r="C102" s="2" t="n">
        <v>58.256</v>
      </c>
      <c r="D102" s="2" t="n">
        <v>69.918</v>
      </c>
      <c r="E102" s="3"/>
      <c r="F102" s="2" t="n">
        <v>151.497750980728</v>
      </c>
      <c r="G102" s="2" t="n">
        <v>12.71</v>
      </c>
      <c r="H102" s="2" t="n">
        <v>145.985547597271</v>
      </c>
      <c r="I102" s="2" t="n">
        <v>101.895971731681</v>
      </c>
    </row>
    <row r="103" customFormat="false" ht="13.8" hidden="false" customHeight="false" outlineLevel="0" collapsed="false">
      <c r="B103" s="0" t="n">
        <v>2000</v>
      </c>
      <c r="C103" s="2" t="n">
        <v>66.671</v>
      </c>
      <c r="D103" s="2" t="n">
        <v>69.501</v>
      </c>
      <c r="E103" s="3"/>
      <c r="F103" s="2" t="n">
        <v>93.3496150577136</v>
      </c>
      <c r="G103" s="2" t="n">
        <v>14.92</v>
      </c>
      <c r="H103" s="2" t="n">
        <v>114.621910925951</v>
      </c>
      <c r="I103" s="2" t="n">
        <v>134.680648093608</v>
      </c>
    </row>
    <row r="104" customFormat="false" ht="13.8" hidden="false" customHeight="false" outlineLevel="0" collapsed="false">
      <c r="B104" s="0" t="n">
        <v>2001</v>
      </c>
      <c r="C104" s="2" t="n">
        <v>43.149</v>
      </c>
      <c r="D104" s="2" t="n">
        <v>65.045</v>
      </c>
      <c r="E104" s="3"/>
      <c r="F104" s="2" t="n">
        <v>143.959678488054</v>
      </c>
      <c r="G104" s="2" t="n">
        <v>13.06</v>
      </c>
      <c r="H104" s="2" t="n">
        <v>120.490609289904</v>
      </c>
      <c r="I104" s="2" t="n">
        <v>181.624540398753</v>
      </c>
    </row>
    <row r="105" customFormat="false" ht="13.8" hidden="false" customHeight="false" outlineLevel="0" collapsed="false">
      <c r="B105" s="0" t="n">
        <v>2002</v>
      </c>
      <c r="C105" s="2" t="n">
        <v>56.034</v>
      </c>
      <c r="D105" s="2" t="n">
        <v>92.961</v>
      </c>
      <c r="E105" s="3"/>
      <c r="F105" s="2" t="n">
        <v>204.837864120932</v>
      </c>
      <c r="G105" s="4"/>
      <c r="H105" s="2" t="n">
        <v>96.9562696979863</v>
      </c>
      <c r="I105" s="2" t="n">
        <v>140.324810668017</v>
      </c>
    </row>
    <row r="106" customFormat="false" ht="13.8" hidden="false" customHeight="false" outlineLevel="0" collapsed="false">
      <c r="B106" s="0" t="n">
        <v>2003</v>
      </c>
      <c r="C106" s="2" t="n">
        <v>48.181</v>
      </c>
      <c r="D106" s="2" t="n">
        <v>65.762</v>
      </c>
      <c r="E106" s="3"/>
      <c r="F106" s="2" t="n">
        <v>82.2238026533231</v>
      </c>
      <c r="G106" s="4"/>
      <c r="H106" s="2" t="n">
        <v>118.177916007501</v>
      </c>
      <c r="I106" s="2" t="n">
        <v>152.278091001621</v>
      </c>
    </row>
    <row r="107" customFormat="false" ht="13.8" hidden="false" customHeight="false" outlineLevel="0" collapsed="false">
      <c r="B107" s="0" t="n">
        <v>2004</v>
      </c>
      <c r="C107" s="2" t="n">
        <v>58.411</v>
      </c>
      <c r="D107" s="2" t="n">
        <v>59.098</v>
      </c>
      <c r="E107" s="3"/>
      <c r="F107" s="2" t="n">
        <v>111.185420790081</v>
      </c>
      <c r="G107" s="6" t="n">
        <v>15.15</v>
      </c>
      <c r="H107" s="2" t="n">
        <v>119.12372037737</v>
      </c>
      <c r="I107" s="2" t="n">
        <v>98.8577856913253</v>
      </c>
    </row>
    <row r="108" customFormat="false" ht="13.8" hidden="false" customHeight="false" outlineLevel="0" collapsed="false">
      <c r="B108" s="0" t="n">
        <v>2005</v>
      </c>
      <c r="C108" s="2" t="n">
        <v>70.678</v>
      </c>
      <c r="D108" s="2" t="n">
        <v>78.227</v>
      </c>
      <c r="E108" s="3"/>
      <c r="F108" s="2" t="n">
        <v>123.212265640189</v>
      </c>
      <c r="G108" s="6" t="n">
        <v>12.07</v>
      </c>
      <c r="H108" s="2" t="n">
        <v>116.717568184404</v>
      </c>
      <c r="I108" s="2" t="n">
        <v>80.801293697656</v>
      </c>
    </row>
    <row r="109" customFormat="false" ht="13.8" hidden="false" customHeight="false" outlineLevel="0" collapsed="false">
      <c r="B109" s="0" t="n">
        <v>2006</v>
      </c>
      <c r="C109" s="2" t="n">
        <v>66.164</v>
      </c>
      <c r="D109" s="2" t="n">
        <v>94.817</v>
      </c>
      <c r="E109" s="3"/>
      <c r="F109" s="2" t="n">
        <v>140.621364200258</v>
      </c>
      <c r="G109" s="6" t="n">
        <v>30.74</v>
      </c>
      <c r="H109" s="2" t="n">
        <v>123.542152181807</v>
      </c>
      <c r="I109" s="2" t="n">
        <v>125.047937847321</v>
      </c>
    </row>
    <row r="110" customFormat="false" ht="13.8" hidden="false" customHeight="false" outlineLevel="0" collapsed="false">
      <c r="B110" s="0" t="n">
        <v>2007</v>
      </c>
      <c r="C110" s="2" t="n">
        <v>63.163</v>
      </c>
      <c r="D110" s="2" t="n">
        <v>115.585</v>
      </c>
      <c r="E110" s="3"/>
      <c r="F110" s="2" t="n">
        <v>81.0603566039007</v>
      </c>
      <c r="G110" s="6"/>
      <c r="H110" s="2" t="n">
        <v>130.544595191489</v>
      </c>
      <c r="I110" s="2" t="n">
        <v>239.99924094053</v>
      </c>
    </row>
    <row r="111" customFormat="false" ht="13.8" hidden="false" customHeight="false" outlineLevel="0" collapsed="false">
      <c r="B111" s="0" t="n">
        <v>2008</v>
      </c>
      <c r="C111" s="2" t="n">
        <v>69.178</v>
      </c>
      <c r="D111" s="2" t="n">
        <v>144.123</v>
      </c>
      <c r="E111" s="6" t="n">
        <v>18.78</v>
      </c>
      <c r="F111" s="2" t="n">
        <v>86.9514889253909</v>
      </c>
      <c r="G111" s="6" t="n">
        <v>3.29</v>
      </c>
      <c r="H111" s="2" t="n">
        <v>122.51418099925</v>
      </c>
      <c r="I111" s="2" t="n">
        <v>208.175625774799</v>
      </c>
    </row>
    <row r="112" customFormat="false" ht="13.8" hidden="false" customHeight="false" outlineLevel="0" collapsed="false">
      <c r="B112" s="0" t="n">
        <v>2009</v>
      </c>
      <c r="C112" s="2" t="n">
        <v>55.582</v>
      </c>
      <c r="D112" s="2" t="n">
        <v>105.439</v>
      </c>
      <c r="E112" s="6" t="n">
        <v>30.51</v>
      </c>
      <c r="F112" s="2" t="n">
        <v>99.1180322528295</v>
      </c>
      <c r="G112" s="6" t="n">
        <v>1.97</v>
      </c>
      <c r="H112" s="2" t="n">
        <v>106.693987888502</v>
      </c>
      <c r="I112" s="2" t="n">
        <v>123.387333996587</v>
      </c>
    </row>
    <row r="113" customFormat="false" ht="13.8" hidden="false" customHeight="false" outlineLevel="0" collapsed="false">
      <c r="B113" s="0" t="n">
        <v>2010</v>
      </c>
      <c r="C113" s="2" t="n">
        <v>51.887</v>
      </c>
      <c r="D113" s="2" t="n">
        <v>107.044</v>
      </c>
      <c r="E113" s="6" t="n">
        <v>46.53</v>
      </c>
      <c r="F113" s="3"/>
      <c r="G113" s="3"/>
      <c r="H113" s="2" t="n">
        <v>126.69640875071</v>
      </c>
      <c r="I113" s="3"/>
    </row>
    <row r="114" customFormat="false" ht="13.8" hidden="false" customHeight="false" outlineLevel="0" collapsed="false">
      <c r="B114" s="0" t="n">
        <v>2011</v>
      </c>
      <c r="C114" s="2" t="n">
        <v>46.505</v>
      </c>
      <c r="D114" s="2" t="n">
        <v>111.983</v>
      </c>
      <c r="E114" s="3"/>
      <c r="F114" s="3"/>
      <c r="G114" s="3"/>
      <c r="H114" s="2" t="n">
        <v>98.785214773343</v>
      </c>
      <c r="I114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3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RowHeight="14.45"/>
  <cols>
    <col collapsed="false" hidden="false" max="1" min="1" style="0" width="8.57085020242915"/>
    <col collapsed="false" hidden="false" max="2" min="2" style="12" width="41.3481781376518"/>
    <col collapsed="false" hidden="false" max="3" min="3" style="0" width="21.5303643724696"/>
    <col collapsed="false" hidden="false" max="4" min="4" style="0" width="28.7085020242915"/>
    <col collapsed="false" hidden="false" max="5" min="5" style="0" width="27.1012145748988"/>
    <col collapsed="false" hidden="false" max="1025" min="6" style="0" width="8.57085020242915"/>
  </cols>
  <sheetData>
    <row r="1" customFormat="false" ht="14.45" hidden="false" customHeight="false" outlineLevel="0" collapsed="false">
      <c r="A1" s="13"/>
      <c r="B1" s="13"/>
      <c r="G1" s="0" t="n">
        <v>13</v>
      </c>
      <c r="I1" s="0" t="n">
        <v>26</v>
      </c>
      <c r="K1" s="0" t="n">
        <v>3</v>
      </c>
      <c r="M1" s="0" t="n">
        <v>6</v>
      </c>
      <c r="O1" s="0" t="n">
        <v>19</v>
      </c>
      <c r="Q1" s="0" t="n">
        <v>27</v>
      </c>
    </row>
    <row r="2" customFormat="false" ht="14.45" hidden="false" customHeight="false" outlineLevel="0" collapsed="false">
      <c r="A2" s="13"/>
      <c r="B2" s="13" t="s">
        <v>31</v>
      </c>
    </row>
    <row r="3" customFormat="false" ht="14.45" hidden="false" customHeight="false" outlineLevel="0" collapsed="false">
      <c r="A3" s="13"/>
      <c r="B3" s="14" t="s">
        <v>32</v>
      </c>
    </row>
    <row r="4" customFormat="false" ht="14.45" hidden="false" customHeight="false" outlineLevel="0" collapsed="false">
      <c r="A4" s="13"/>
      <c r="B4" s="12" t="s">
        <v>33</v>
      </c>
    </row>
    <row r="5" customFormat="false" ht="14.45" hidden="false" customHeight="false" outlineLevel="0" collapsed="false">
      <c r="A5" s="13"/>
      <c r="B5" s="15" t="s">
        <v>34</v>
      </c>
    </row>
    <row r="6" customFormat="false" ht="14.45" hidden="false" customHeight="false" outlineLevel="0" collapsed="false">
      <c r="A6" s="13"/>
      <c r="B6" s="13"/>
    </row>
    <row r="7" customFormat="false" ht="14.45" hidden="false" customHeight="false" outlineLevel="0" collapsed="false">
      <c r="A7" s="13"/>
      <c r="B7" s="13"/>
    </row>
    <row r="8" customFormat="false" ht="14.45" hidden="false" customHeight="false" outlineLevel="0" collapsed="false">
      <c r="B8" s="16" t="s">
        <v>35</v>
      </c>
      <c r="E8" s="0" t="s">
        <v>36</v>
      </c>
      <c r="G8" s="0" t="s">
        <v>0</v>
      </c>
      <c r="I8" s="0" t="s">
        <v>37</v>
      </c>
      <c r="K8" s="0" t="s">
        <v>38</v>
      </c>
      <c r="M8" s="0" t="s">
        <v>39</v>
      </c>
      <c r="O8" s="0" t="s">
        <v>3</v>
      </c>
      <c r="Q8" s="0" t="s">
        <v>40</v>
      </c>
    </row>
    <row r="9" customFormat="false" ht="14.45" hidden="false" customHeight="false" outlineLevel="0" collapsed="false">
      <c r="A9" s="16" t="s">
        <v>41</v>
      </c>
      <c r="B9" s="17" t="s">
        <v>42</v>
      </c>
      <c r="C9" s="0" t="s">
        <v>43</v>
      </c>
      <c r="G9" s="0" t="s">
        <v>44</v>
      </c>
      <c r="I9" s="0" t="s">
        <v>45</v>
      </c>
      <c r="L9" s="0" t="s">
        <v>46</v>
      </c>
      <c r="O9" s="0" t="s">
        <v>47</v>
      </c>
      <c r="Q9" s="0" t="s">
        <v>48</v>
      </c>
      <c r="S9" s="0" t="s">
        <v>49</v>
      </c>
    </row>
    <row r="10" customFormat="false" ht="14.45" hidden="false" customHeight="false" outlineLevel="0" collapsed="false">
      <c r="B10" s="0"/>
      <c r="C10" s="0" t="n">
        <v>1</v>
      </c>
      <c r="D10" s="0" t="n">
        <v>2</v>
      </c>
      <c r="E10" s="0" t="n">
        <v>3</v>
      </c>
      <c r="G10" s="0" t="s">
        <v>50</v>
      </c>
      <c r="I10" s="0" t="s">
        <v>51</v>
      </c>
      <c r="K10" s="0" t="s">
        <v>52</v>
      </c>
      <c r="M10" s="0" t="s">
        <v>53</v>
      </c>
      <c r="O10" s="0" t="s">
        <v>54</v>
      </c>
      <c r="Q10" s="0" t="s">
        <v>55</v>
      </c>
      <c r="S10" s="0" t="s">
        <v>56</v>
      </c>
      <c r="U10" s="0" t="s">
        <v>57</v>
      </c>
    </row>
    <row r="11" s="18" customFormat="true" ht="43.15" hidden="false" customHeight="false" outlineLevel="0" collapsed="false">
      <c r="A11" s="18" t="n">
        <v>1</v>
      </c>
      <c r="B11" s="19" t="s">
        <v>58</v>
      </c>
      <c r="C11" s="18" t="s">
        <v>59</v>
      </c>
      <c r="D11" s="18" t="s">
        <v>60</v>
      </c>
      <c r="E11" s="18" t="s">
        <v>61</v>
      </c>
      <c r="G11" s="18" t="n">
        <v>2</v>
      </c>
      <c r="I11" s="18" t="n">
        <v>2</v>
      </c>
      <c r="K11" s="18" t="n">
        <v>2</v>
      </c>
      <c r="M11" s="18" t="n">
        <v>2</v>
      </c>
      <c r="O11" s="18" t="n">
        <v>2</v>
      </c>
      <c r="Q11" s="18" t="n">
        <v>2</v>
      </c>
      <c r="S11" s="18" t="n">
        <v>2</v>
      </c>
      <c r="U11" s="18" t="n">
        <v>2</v>
      </c>
    </row>
    <row r="12" s="18" customFormat="true" ht="28.9" hidden="false" customHeight="false" outlineLevel="0" collapsed="false">
      <c r="A12" s="18" t="n">
        <v>2</v>
      </c>
      <c r="B12" s="19" t="s">
        <v>62</v>
      </c>
      <c r="C12" s="18" t="s">
        <v>63</v>
      </c>
      <c r="D12" s="18" t="s">
        <v>64</v>
      </c>
      <c r="E12" s="18" t="s">
        <v>65</v>
      </c>
      <c r="G12" s="18" t="n">
        <v>3</v>
      </c>
      <c r="I12" s="18" t="n">
        <v>3</v>
      </c>
      <c r="K12" s="18" t="n">
        <v>3</v>
      </c>
      <c r="M12" s="18" t="n">
        <v>3</v>
      </c>
      <c r="O12" s="18" t="n">
        <v>3</v>
      </c>
      <c r="Q12" s="18" t="n">
        <v>3</v>
      </c>
      <c r="S12" s="18" t="n">
        <v>3</v>
      </c>
      <c r="U12" s="18" t="n">
        <v>2</v>
      </c>
    </row>
    <row r="13" customFormat="false" ht="57.6" hidden="false" customHeight="false" outlineLevel="0" collapsed="false">
      <c r="A13" s="18" t="n">
        <v>3</v>
      </c>
      <c r="B13" s="20" t="s">
        <v>66</v>
      </c>
      <c r="C13" s="18" t="s">
        <v>67</v>
      </c>
      <c r="D13" s="18" t="s">
        <v>68</v>
      </c>
      <c r="E13" s="18" t="s">
        <v>69</v>
      </c>
      <c r="G13" s="18" t="n">
        <v>2</v>
      </c>
      <c r="I13" s="18" t="n">
        <v>2</v>
      </c>
      <c r="K13" s="18" t="n">
        <v>2</v>
      </c>
      <c r="M13" s="18" t="n">
        <v>2</v>
      </c>
      <c r="O13" s="18" t="n">
        <v>2</v>
      </c>
      <c r="Q13" s="18" t="n">
        <v>2</v>
      </c>
      <c r="S13" s="18" t="n">
        <v>2</v>
      </c>
      <c r="U13" s="18" t="n">
        <v>2</v>
      </c>
    </row>
    <row r="14" customFormat="false" ht="43.15" hidden="false" customHeight="false" outlineLevel="0" collapsed="false">
      <c r="A14" s="18" t="n">
        <v>4</v>
      </c>
      <c r="B14" s="20" t="s">
        <v>70</v>
      </c>
      <c r="C14" s="18" t="s">
        <v>71</v>
      </c>
      <c r="D14" s="18" t="s">
        <v>72</v>
      </c>
      <c r="E14" s="18" t="s">
        <v>73</v>
      </c>
      <c r="G14" s="18" t="n">
        <v>2</v>
      </c>
      <c r="I14" s="18" t="n">
        <v>2</v>
      </c>
      <c r="K14" s="18" t="n">
        <v>1</v>
      </c>
      <c r="M14" s="18" t="n">
        <v>1</v>
      </c>
      <c r="O14" s="18" t="n">
        <v>3</v>
      </c>
      <c r="Q14" s="18" t="n">
        <v>2</v>
      </c>
      <c r="S14" s="18" t="n">
        <v>3</v>
      </c>
      <c r="U14" s="18" t="n">
        <v>1</v>
      </c>
    </row>
    <row r="15" customFormat="false" ht="43.15" hidden="false" customHeight="false" outlineLevel="0" collapsed="false">
      <c r="A15" s="18" t="n">
        <v>5</v>
      </c>
      <c r="B15" s="20" t="s">
        <v>74</v>
      </c>
      <c r="C15" s="18" t="s">
        <v>75</v>
      </c>
      <c r="D15" s="18" t="s">
        <v>76</v>
      </c>
      <c r="E15" s="18" t="s">
        <v>77</v>
      </c>
      <c r="G15" s="18" t="n">
        <v>2</v>
      </c>
      <c r="I15" s="18" t="n">
        <v>3</v>
      </c>
      <c r="K15" s="18" t="n">
        <v>1</v>
      </c>
      <c r="M15" s="18" t="n">
        <v>1</v>
      </c>
      <c r="O15" s="18" t="n">
        <v>3</v>
      </c>
      <c r="Q15" s="18" t="n">
        <v>3</v>
      </c>
      <c r="S15" s="18" t="n">
        <v>3</v>
      </c>
      <c r="U15" s="18" t="n">
        <v>3</v>
      </c>
    </row>
    <row r="16" customFormat="false" ht="43.15" hidden="false" customHeight="false" outlineLevel="0" collapsed="false">
      <c r="A16" s="18" t="n">
        <v>6</v>
      </c>
      <c r="B16" s="20" t="s">
        <v>78</v>
      </c>
      <c r="C16" s="18" t="s">
        <v>79</v>
      </c>
      <c r="D16" s="18" t="s">
        <v>80</v>
      </c>
      <c r="E16" s="18" t="s">
        <v>81</v>
      </c>
      <c r="G16" s="18" t="n">
        <v>1</v>
      </c>
      <c r="I16" s="18" t="n">
        <v>2</v>
      </c>
      <c r="K16" s="18" t="n">
        <v>1</v>
      </c>
      <c r="M16" s="18" t="n">
        <v>1</v>
      </c>
      <c r="O16" s="18" t="n">
        <v>2</v>
      </c>
      <c r="Q16" s="18" t="n">
        <v>2</v>
      </c>
      <c r="S16" s="18" t="n">
        <v>2</v>
      </c>
      <c r="U16" s="18" t="n">
        <v>2</v>
      </c>
    </row>
    <row r="17" customFormat="false" ht="57.6" hidden="false" customHeight="false" outlineLevel="0" collapsed="false">
      <c r="A17" s="18" t="n">
        <v>7</v>
      </c>
      <c r="B17" s="19" t="s">
        <v>82</v>
      </c>
      <c r="C17" s="18" t="s">
        <v>83</v>
      </c>
      <c r="D17" s="18" t="s">
        <v>84</v>
      </c>
      <c r="E17" s="18" t="s">
        <v>85</v>
      </c>
      <c r="G17" s="18" t="n">
        <v>2</v>
      </c>
      <c r="I17" s="18" t="n">
        <v>1</v>
      </c>
      <c r="K17" s="18" t="n">
        <v>1</v>
      </c>
      <c r="M17" s="18" t="n">
        <v>1</v>
      </c>
      <c r="O17" s="18" t="n">
        <v>1</v>
      </c>
      <c r="Q17" s="18" t="n">
        <v>2</v>
      </c>
      <c r="S17" s="18" t="n">
        <v>1</v>
      </c>
      <c r="U17" s="18" t="n">
        <v>1</v>
      </c>
    </row>
    <row r="18" customFormat="false" ht="57.6" hidden="false" customHeight="false" outlineLevel="0" collapsed="false">
      <c r="A18" s="18" t="n">
        <v>8</v>
      </c>
      <c r="B18" s="21" t="s">
        <v>86</v>
      </c>
      <c r="C18" s="18" t="s">
        <v>87</v>
      </c>
      <c r="D18" s="18" t="s">
        <v>88</v>
      </c>
      <c r="E18" s="18" t="s">
        <v>89</v>
      </c>
      <c r="G18" s="18" t="n">
        <v>3</v>
      </c>
      <c r="I18" s="18" t="n">
        <v>3</v>
      </c>
      <c r="K18" s="18" t="n">
        <v>3</v>
      </c>
      <c r="M18" s="18" t="n">
        <v>3</v>
      </c>
      <c r="O18" s="18" t="n">
        <v>3</v>
      </c>
      <c r="Q18" s="18" t="n">
        <v>3</v>
      </c>
      <c r="S18" s="18" t="n">
        <v>3</v>
      </c>
      <c r="U18" s="18" t="n">
        <v>3</v>
      </c>
    </row>
    <row r="19" customFormat="false" ht="43.15" hidden="false" customHeight="false" outlineLevel="0" collapsed="false">
      <c r="A19" s="18" t="n">
        <v>9</v>
      </c>
      <c r="B19" s="21" t="s">
        <v>90</v>
      </c>
      <c r="C19" s="18" t="s">
        <v>91</v>
      </c>
      <c r="D19" s="18" t="s">
        <v>92</v>
      </c>
      <c r="E19" s="18" t="s">
        <v>93</v>
      </c>
    </row>
    <row r="20" customFormat="false" ht="43.15" hidden="false" customHeight="false" outlineLevel="0" collapsed="false">
      <c r="A20" s="18" t="n">
        <v>10</v>
      </c>
      <c r="B20" s="21" t="s">
        <v>94</v>
      </c>
      <c r="C20" s="18" t="s">
        <v>95</v>
      </c>
      <c r="D20" s="18" t="s">
        <v>96</v>
      </c>
      <c r="E20" s="18" t="s">
        <v>97</v>
      </c>
      <c r="G20" s="18" t="n">
        <v>3</v>
      </c>
      <c r="I20" s="18" t="n">
        <v>3</v>
      </c>
      <c r="K20" s="18" t="n">
        <v>3</v>
      </c>
      <c r="M20" s="18" t="n">
        <v>3</v>
      </c>
      <c r="O20" s="18" t="n">
        <v>3</v>
      </c>
      <c r="Q20" s="18" t="n">
        <v>3</v>
      </c>
      <c r="S20" s="18" t="n">
        <v>3</v>
      </c>
      <c r="U20" s="18" t="n">
        <v>3</v>
      </c>
    </row>
    <row r="21" customFormat="false" ht="172.9" hidden="false" customHeight="false" outlineLevel="0" collapsed="false">
      <c r="A21" s="18" t="n">
        <v>11</v>
      </c>
      <c r="B21" s="19" t="s">
        <v>98</v>
      </c>
      <c r="C21" s="18" t="s">
        <v>99</v>
      </c>
      <c r="D21" s="18" t="s">
        <v>100</v>
      </c>
      <c r="E21" s="18" t="s">
        <v>101</v>
      </c>
      <c r="G21" s="18" t="n">
        <v>2</v>
      </c>
      <c r="I21" s="18" t="n">
        <v>2</v>
      </c>
      <c r="K21" s="18" t="n">
        <v>2</v>
      </c>
      <c r="M21" s="18" t="n">
        <v>2</v>
      </c>
      <c r="O21" s="18" t="n">
        <v>3</v>
      </c>
      <c r="Q21" s="18" t="n">
        <v>3</v>
      </c>
      <c r="S21" s="18" t="n">
        <v>3</v>
      </c>
      <c r="U21" s="18" t="n">
        <v>3</v>
      </c>
    </row>
    <row r="22" customFormat="false" ht="43.15" hidden="false" customHeight="false" outlineLevel="0" collapsed="false">
      <c r="A22" s="18" t="n">
        <v>12</v>
      </c>
      <c r="B22" s="20" t="s">
        <v>102</v>
      </c>
      <c r="C22" s="18" t="s">
        <v>103</v>
      </c>
      <c r="D22" s="18" t="s">
        <v>104</v>
      </c>
      <c r="E22" s="18" t="s">
        <v>105</v>
      </c>
      <c r="G22" s="18" t="n">
        <v>3</v>
      </c>
      <c r="I22" s="18" t="n">
        <v>3</v>
      </c>
      <c r="K22" s="18" t="n">
        <v>3</v>
      </c>
      <c r="M22" s="18" t="n">
        <v>3</v>
      </c>
      <c r="O22" s="18" t="n">
        <v>2</v>
      </c>
      <c r="Q22" s="18" t="n">
        <v>2</v>
      </c>
      <c r="S22" s="18" t="n">
        <v>2</v>
      </c>
      <c r="U22" s="18" t="n">
        <v>3</v>
      </c>
    </row>
    <row r="23" customFormat="false" ht="72" hidden="false" customHeight="false" outlineLevel="0" collapsed="false">
      <c r="A23" s="18" t="n">
        <v>13</v>
      </c>
      <c r="B23" s="19" t="s">
        <v>106</v>
      </c>
      <c r="C23" s="18" t="s">
        <v>107</v>
      </c>
      <c r="D23" s="18" t="s">
        <v>108</v>
      </c>
      <c r="E23" s="18" t="s">
        <v>109</v>
      </c>
      <c r="G23" s="18" t="n">
        <v>2</v>
      </c>
      <c r="I23" s="18" t="n">
        <v>2</v>
      </c>
      <c r="K23" s="18" t="n">
        <v>2</v>
      </c>
      <c r="M23" s="18" t="n">
        <v>2</v>
      </c>
      <c r="O23" s="18" t="n">
        <v>2</v>
      </c>
      <c r="Q23" s="18" t="n">
        <v>2</v>
      </c>
      <c r="S23" s="18" t="n">
        <v>2</v>
      </c>
      <c r="U23" s="18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RowHeight="14.45"/>
  <cols>
    <col collapsed="false" hidden="false" max="1025" min="1" style="0" width="8.57085020242915"/>
  </cols>
  <sheetData>
    <row r="2" customFormat="false" ht="14.45" hidden="false" customHeight="false" outlineLevel="0" collapsed="false">
      <c r="A2" s="22" t="s">
        <v>28</v>
      </c>
      <c r="B2" s="22" t="s">
        <v>110</v>
      </c>
      <c r="C2" s="22" t="s">
        <v>111</v>
      </c>
      <c r="D2" s="22" t="s">
        <v>112</v>
      </c>
      <c r="E2" s="22" t="s">
        <v>113</v>
      </c>
    </row>
    <row r="3" customFormat="false" ht="14.45" hidden="false" customHeight="false" outlineLevel="0" collapsed="false">
      <c r="A3" s="23" t="n">
        <v>1999</v>
      </c>
      <c r="B3" s="23" t="n">
        <v>58.256</v>
      </c>
      <c r="C3" s="23" t="n">
        <v>102.013</v>
      </c>
      <c r="D3" s="23" t="n">
        <v>33.268</v>
      </c>
      <c r="E3" s="24" t="n">
        <v>0.075</v>
      </c>
    </row>
    <row r="4" customFormat="false" ht="14.45" hidden="false" customHeight="false" outlineLevel="0" collapsed="false">
      <c r="A4" s="23" t="n">
        <v>2000</v>
      </c>
      <c r="B4" s="23" t="n">
        <v>66.671</v>
      </c>
      <c r="C4" s="23" t="n">
        <v>77.241</v>
      </c>
      <c r="D4" s="23" t="n">
        <v>57.547</v>
      </c>
      <c r="E4" s="24" t="n">
        <v>0.018</v>
      </c>
    </row>
    <row r="5" customFormat="false" ht="14.45" hidden="false" customHeight="false" outlineLevel="0" collapsed="false">
      <c r="A5" s="23" t="n">
        <v>2001</v>
      </c>
      <c r="B5" s="23" t="n">
        <v>43.149</v>
      </c>
      <c r="C5" s="23" t="n">
        <v>48.919</v>
      </c>
      <c r="D5" s="23" t="n">
        <v>38.059</v>
      </c>
      <c r="E5" s="24" t="n">
        <v>0.018</v>
      </c>
    </row>
    <row r="6" customFormat="false" ht="14.45" hidden="false" customHeight="false" outlineLevel="0" collapsed="false">
      <c r="A6" s="23" t="n">
        <v>2002</v>
      </c>
      <c r="B6" s="23" t="n">
        <v>56.034</v>
      </c>
      <c r="C6" s="23" t="n">
        <v>65.954</v>
      </c>
      <c r="D6" s="23" t="n">
        <v>47.606</v>
      </c>
      <c r="E6" s="24" t="n">
        <v>0.021</v>
      </c>
    </row>
    <row r="7" customFormat="false" ht="14.45" hidden="false" customHeight="false" outlineLevel="0" collapsed="false">
      <c r="A7" s="23" t="n">
        <v>2003</v>
      </c>
      <c r="B7" s="23" t="n">
        <v>48.181</v>
      </c>
      <c r="C7" s="23" t="n">
        <v>55.014</v>
      </c>
      <c r="D7" s="23" t="n">
        <v>42.197</v>
      </c>
      <c r="E7" s="24" t="n">
        <v>0.018</v>
      </c>
    </row>
    <row r="8" customFormat="false" ht="14.45" hidden="false" customHeight="false" outlineLevel="0" collapsed="false">
      <c r="A8" s="23" t="n">
        <v>2004</v>
      </c>
      <c r="B8" s="23" t="n">
        <v>58.411</v>
      </c>
      <c r="C8" s="23" t="n">
        <v>67.898</v>
      </c>
      <c r="D8" s="23" t="n">
        <v>50.25</v>
      </c>
      <c r="E8" s="24" t="n">
        <v>0.02</v>
      </c>
    </row>
    <row r="9" customFormat="false" ht="14.45" hidden="false" customHeight="false" outlineLevel="0" collapsed="false">
      <c r="A9" s="23" t="n">
        <v>2005</v>
      </c>
      <c r="B9" s="23" t="n">
        <v>70.678</v>
      </c>
      <c r="C9" s="23" t="n">
        <v>80.264</v>
      </c>
      <c r="D9" s="23" t="n">
        <v>62.237</v>
      </c>
      <c r="E9" s="24" t="n">
        <v>0.016</v>
      </c>
    </row>
    <row r="10" customFormat="false" ht="14.45" hidden="false" customHeight="false" outlineLevel="0" collapsed="false">
      <c r="A10" s="23" t="n">
        <v>2006</v>
      </c>
      <c r="B10" s="23" t="n">
        <v>66.164</v>
      </c>
      <c r="C10" s="23" t="n">
        <v>74.536</v>
      </c>
      <c r="D10" s="23" t="n">
        <v>58.731</v>
      </c>
      <c r="E10" s="24" t="n">
        <v>0.015</v>
      </c>
    </row>
    <row r="11" customFormat="false" ht="14.45" hidden="false" customHeight="false" outlineLevel="0" collapsed="false">
      <c r="A11" s="23" t="n">
        <v>2007</v>
      </c>
      <c r="B11" s="23" t="n">
        <v>63.163</v>
      </c>
      <c r="C11" s="23" t="n">
        <v>70.715</v>
      </c>
      <c r="D11" s="23" t="n">
        <v>56.418</v>
      </c>
      <c r="E11" s="24" t="n">
        <v>0.014</v>
      </c>
    </row>
    <row r="12" customFormat="false" ht="14.45" hidden="false" customHeight="false" outlineLevel="0" collapsed="false">
      <c r="A12" s="23" t="n">
        <v>2008</v>
      </c>
      <c r="B12" s="23" t="n">
        <v>69.178</v>
      </c>
      <c r="C12" s="23" t="n">
        <v>79.043</v>
      </c>
      <c r="D12" s="23" t="n">
        <v>60.545</v>
      </c>
      <c r="E12" s="24" t="n">
        <v>0.017</v>
      </c>
    </row>
    <row r="13" customFormat="false" ht="14.45" hidden="false" customHeight="false" outlineLevel="0" collapsed="false">
      <c r="A13" s="23" t="n">
        <v>2009</v>
      </c>
      <c r="B13" s="23" t="n">
        <v>55.582</v>
      </c>
      <c r="C13" s="23" t="n">
        <v>64.302</v>
      </c>
      <c r="D13" s="23" t="n">
        <v>48.045</v>
      </c>
      <c r="E13" s="24" t="n">
        <v>0.019</v>
      </c>
    </row>
    <row r="14" customFormat="false" ht="14.45" hidden="false" customHeight="false" outlineLevel="0" collapsed="false">
      <c r="A14" s="23" t="n">
        <v>2010</v>
      </c>
      <c r="B14" s="23" t="n">
        <v>51.887</v>
      </c>
      <c r="C14" s="23" t="n">
        <v>58.854</v>
      </c>
      <c r="D14" s="23" t="n">
        <v>45.746</v>
      </c>
      <c r="E14" s="24" t="n">
        <v>0.017</v>
      </c>
    </row>
    <row r="15" customFormat="false" ht="14.45" hidden="false" customHeight="false" outlineLevel="0" collapsed="false">
      <c r="A15" s="23" t="n">
        <v>2011</v>
      </c>
      <c r="B15" s="23" t="n">
        <v>46.505</v>
      </c>
      <c r="C15" s="23" t="n">
        <v>66.888</v>
      </c>
      <c r="D15" s="23" t="n">
        <v>32.333</v>
      </c>
      <c r="E15" s="24" t="n">
        <v>0.051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D31"/>
  <sheetViews>
    <sheetView windowProtection="false"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K34" activeCellId="0" sqref="K34"/>
    </sheetView>
  </sheetViews>
  <sheetFormatPr defaultRowHeight="14.45"/>
  <cols>
    <col collapsed="false" hidden="false" max="1" min="1" style="0" width="8.57085020242915"/>
    <col collapsed="false" hidden="false" max="2" min="2" style="0" width="12.9595141700405"/>
    <col collapsed="false" hidden="false" max="3" min="3" style="0" width="14.7813765182186"/>
    <col collapsed="false" hidden="false" max="1025" min="4" style="0" width="8.57085020242915"/>
  </cols>
  <sheetData>
    <row r="2" customFormat="false" ht="13.8" hidden="false" customHeight="false" outlineLevel="0" collapsed="false">
      <c r="A2" s="0" t="s">
        <v>114</v>
      </c>
      <c r="B2" s="0" t="s">
        <v>57</v>
      </c>
      <c r="C2" s="0" t="s">
        <v>55</v>
      </c>
      <c r="D2" s="0" t="s">
        <v>115</v>
      </c>
    </row>
    <row r="3" customFormat="false" ht="13.8" hidden="false" customHeight="false" outlineLevel="0" collapsed="false">
      <c r="A3" s="0" t="n">
        <v>1987</v>
      </c>
      <c r="C3" s="0" t="n">
        <v>184.62</v>
      </c>
    </row>
    <row r="4" customFormat="false" ht="13.8" hidden="false" customHeight="false" outlineLevel="0" collapsed="false">
      <c r="A4" s="0" t="n">
        <v>1988</v>
      </c>
      <c r="C4" s="0" t="n">
        <v>220.85</v>
      </c>
    </row>
    <row r="5" customFormat="false" ht="13.8" hidden="false" customHeight="false" outlineLevel="0" collapsed="false">
      <c r="A5" s="0" t="n">
        <v>1989</v>
      </c>
    </row>
    <row r="6" customFormat="false" ht="13.8" hidden="false" customHeight="false" outlineLevel="0" collapsed="false">
      <c r="A6" s="0" t="n">
        <v>1990</v>
      </c>
      <c r="C6" s="0" t="n">
        <v>202.21</v>
      </c>
    </row>
    <row r="7" customFormat="false" ht="13.8" hidden="false" customHeight="false" outlineLevel="0" collapsed="false">
      <c r="A7" s="0" t="n">
        <v>1991</v>
      </c>
      <c r="B7" s="0" t="n">
        <v>88.4673357055988</v>
      </c>
      <c r="C7" s="0" t="n">
        <v>273.55</v>
      </c>
      <c r="D7" s="0" t="n">
        <v>100.284984033702</v>
      </c>
    </row>
    <row r="8" customFormat="false" ht="13.8" hidden="false" customHeight="false" outlineLevel="0" collapsed="false">
      <c r="A8" s="0" t="n">
        <v>1992</v>
      </c>
      <c r="B8" s="0" t="n">
        <v>66.1000510369058</v>
      </c>
      <c r="C8" s="0" t="n">
        <v>105.92</v>
      </c>
      <c r="D8" s="0" t="n">
        <v>98.5149280878218</v>
      </c>
    </row>
    <row r="9" customFormat="false" ht="13.8" hidden="false" customHeight="false" outlineLevel="0" collapsed="false">
      <c r="A9" s="0" t="n">
        <v>1993</v>
      </c>
      <c r="B9" s="0" t="n">
        <v>68.7633207106589</v>
      </c>
      <c r="C9" s="0" t="n">
        <v>186.92</v>
      </c>
    </row>
    <row r="10" customFormat="false" ht="13.8" hidden="false" customHeight="false" outlineLevel="0" collapsed="false">
      <c r="A10" s="0" t="n">
        <v>1994</v>
      </c>
      <c r="B10" s="0" t="n">
        <v>90.5959432854924</v>
      </c>
      <c r="C10" s="0" t="n">
        <v>238.65</v>
      </c>
      <c r="D10" s="0" t="n">
        <v>99.4543975831947</v>
      </c>
    </row>
    <row r="11" customFormat="false" ht="13.8" hidden="false" customHeight="false" outlineLevel="0" collapsed="false">
      <c r="A11" s="0" t="n">
        <v>1995</v>
      </c>
      <c r="B11" s="0" t="n">
        <v>94.6174148603958</v>
      </c>
      <c r="C11" s="0" t="n">
        <v>156.12</v>
      </c>
      <c r="D11" s="0" t="n">
        <v>124.192138505373</v>
      </c>
    </row>
    <row r="12" customFormat="false" ht="13.8" hidden="false" customHeight="false" outlineLevel="0" collapsed="false">
      <c r="A12" s="0" t="n">
        <v>1996</v>
      </c>
      <c r="B12" s="0" t="n">
        <v>94.3443415443964</v>
      </c>
    </row>
    <row r="13" customFormat="false" ht="13.8" hidden="false" customHeight="false" outlineLevel="0" collapsed="false">
      <c r="A13" s="0" t="n">
        <v>1997</v>
      </c>
      <c r="B13" s="0" t="n">
        <v>101.069041341145</v>
      </c>
      <c r="D13" s="0" t="n">
        <v>75.9172163752887</v>
      </c>
    </row>
    <row r="14" customFormat="false" ht="13.8" hidden="false" customHeight="false" outlineLevel="0" collapsed="false">
      <c r="A14" s="0" t="n">
        <v>1998</v>
      </c>
      <c r="B14" s="0" t="n">
        <v>144.937013467728</v>
      </c>
      <c r="C14" s="0" t="n">
        <v>227.28</v>
      </c>
      <c r="D14" s="0" t="n">
        <v>127.629627441433</v>
      </c>
    </row>
    <row r="15" customFormat="false" ht="13.8" hidden="false" customHeight="false" outlineLevel="0" collapsed="false">
      <c r="A15" s="0" t="n">
        <v>1999</v>
      </c>
      <c r="B15" s="0" t="n">
        <v>101.895971731681</v>
      </c>
      <c r="C15" s="0" t="n">
        <v>157.7</v>
      </c>
      <c r="D15" s="0" t="n">
        <v>151.497750980728</v>
      </c>
    </row>
    <row r="16" customFormat="false" ht="13.8" hidden="false" customHeight="false" outlineLevel="0" collapsed="false">
      <c r="A16" s="0" t="n">
        <v>2000</v>
      </c>
      <c r="B16" s="0" t="n">
        <v>134.680648093608</v>
      </c>
      <c r="C16" s="0" t="n">
        <v>112.5</v>
      </c>
      <c r="D16" s="0" t="n">
        <v>93.3496150577136</v>
      </c>
    </row>
    <row r="17" customFormat="false" ht="13.8" hidden="false" customHeight="false" outlineLevel="0" collapsed="false">
      <c r="A17" s="0" t="n">
        <v>2001</v>
      </c>
      <c r="B17" s="0" t="n">
        <v>181.624540398753</v>
      </c>
      <c r="C17" s="0" t="n">
        <v>117.49</v>
      </c>
      <c r="D17" s="0" t="n">
        <v>143.959678488054</v>
      </c>
    </row>
    <row r="18" customFormat="false" ht="13.8" hidden="false" customHeight="false" outlineLevel="0" collapsed="false">
      <c r="A18" s="0" t="n">
        <v>2002</v>
      </c>
      <c r="B18" s="0" t="n">
        <v>140.324810668017</v>
      </c>
      <c r="C18" s="0" t="n">
        <v>95.68</v>
      </c>
      <c r="D18" s="0" t="n">
        <v>204.837864120932</v>
      </c>
    </row>
    <row r="19" customFormat="false" ht="13.8" hidden="false" customHeight="false" outlineLevel="0" collapsed="false">
      <c r="A19" s="0" t="n">
        <v>2003</v>
      </c>
      <c r="B19" s="0" t="n">
        <v>152.278091001621</v>
      </c>
      <c r="C19" s="0" t="n">
        <v>115.3</v>
      </c>
      <c r="D19" s="0" t="n">
        <v>82.2238026533231</v>
      </c>
    </row>
    <row r="20" customFormat="false" ht="13.8" hidden="false" customHeight="false" outlineLevel="0" collapsed="false">
      <c r="A20" s="0" t="n">
        <v>2004</v>
      </c>
      <c r="B20" s="0" t="n">
        <v>98.8577856913253</v>
      </c>
      <c r="C20" s="0" t="n">
        <v>115.75</v>
      </c>
      <c r="D20" s="0" t="n">
        <v>111.185420790081</v>
      </c>
    </row>
    <row r="21" customFormat="false" ht="13.8" hidden="false" customHeight="false" outlineLevel="0" collapsed="false">
      <c r="A21" s="0" t="n">
        <v>2005</v>
      </c>
      <c r="B21" s="0" t="n">
        <v>80.801293697656</v>
      </c>
      <c r="C21" s="0" t="n">
        <v>114.65</v>
      </c>
      <c r="D21" s="0" t="n">
        <v>123.212265640189</v>
      </c>
    </row>
    <row r="22" customFormat="false" ht="13.8" hidden="false" customHeight="false" outlineLevel="0" collapsed="false">
      <c r="A22" s="0" t="n">
        <v>2006</v>
      </c>
      <c r="B22" s="0" t="n">
        <v>125.047937847321</v>
      </c>
      <c r="C22" s="0" t="n">
        <v>123.44</v>
      </c>
      <c r="D22" s="0" t="n">
        <v>140.621364200258</v>
      </c>
    </row>
    <row r="23" customFormat="false" ht="13.8" hidden="false" customHeight="false" outlineLevel="0" collapsed="false">
      <c r="A23" s="0" t="n">
        <v>2007</v>
      </c>
      <c r="B23" s="0" t="n">
        <v>239.99924094053</v>
      </c>
      <c r="C23" s="0" t="n">
        <v>127.24</v>
      </c>
      <c r="D23" s="0" t="n">
        <v>81.0603566039007</v>
      </c>
    </row>
    <row r="24" customFormat="false" ht="13.8" hidden="false" customHeight="false" outlineLevel="0" collapsed="false">
      <c r="A24" s="0" t="n">
        <v>2008</v>
      </c>
      <c r="B24" s="0" t="n">
        <v>208.175625774799</v>
      </c>
      <c r="C24" s="0" t="n">
        <v>122.51</v>
      </c>
      <c r="D24" s="0" t="n">
        <v>86.9514889253909</v>
      </c>
    </row>
    <row r="25" customFormat="false" ht="13.8" hidden="false" customHeight="false" outlineLevel="0" collapsed="false">
      <c r="A25" s="0" t="n">
        <v>2009</v>
      </c>
      <c r="B25" s="0" t="n">
        <v>123.387333996587</v>
      </c>
      <c r="C25" s="0" t="n">
        <v>104.48</v>
      </c>
      <c r="D25" s="0" t="n">
        <v>99.1180322528295</v>
      </c>
    </row>
    <row r="26" customFormat="false" ht="13.8" hidden="false" customHeight="false" outlineLevel="0" collapsed="false">
      <c r="A26" s="0" t="n">
        <v>2010</v>
      </c>
      <c r="C26" s="0" t="n">
        <v>126.8</v>
      </c>
    </row>
    <row r="27" customFormat="false" ht="13.8" hidden="false" customHeight="false" outlineLevel="0" collapsed="false">
      <c r="A27" s="0" t="n">
        <v>2011</v>
      </c>
      <c r="C27" s="0" t="n">
        <v>99.11</v>
      </c>
    </row>
    <row r="28" customFormat="false" ht="13.8" hidden="false" customHeight="false" outlineLevel="0" collapsed="false">
      <c r="A28" s="0" t="n">
        <v>2012</v>
      </c>
      <c r="C28" s="0" t="n">
        <v>97.5</v>
      </c>
    </row>
    <row r="29" customFormat="false" ht="13.8" hidden="false" customHeight="false" outlineLevel="0" collapsed="false">
      <c r="A29" s="0" t="n">
        <v>2013</v>
      </c>
      <c r="C29" s="0" t="n">
        <v>149.78</v>
      </c>
    </row>
    <row r="30" customFormat="false" ht="13.8" hidden="false" customHeight="false" outlineLevel="0" collapsed="false">
      <c r="A30" s="0" t="n">
        <v>2014</v>
      </c>
      <c r="C30" s="0" t="n">
        <v>115.06</v>
      </c>
    </row>
    <row r="31" customFormat="false" ht="13.8" hidden="false" customHeight="false" outlineLevel="0" collapsed="false">
      <c r="A31" s="0" t="n">
        <v>2015</v>
      </c>
      <c r="C31" s="0" t="n">
        <v>96.55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4"/>
  <sheetViews>
    <sheetView windowProtection="false"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4" activeCellId="0" sqref="C4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A1" s="0" t="s">
        <v>116</v>
      </c>
    </row>
    <row r="2" customFormat="false" ht="13.8" hidden="false" customHeight="false" outlineLevel="0" collapsed="false">
      <c r="B2" s="0" t="s">
        <v>117</v>
      </c>
    </row>
    <row r="3" customFormat="false" ht="13.8" hidden="false" customHeight="false" outlineLevel="0" collapsed="false">
      <c r="A3" s="25"/>
    </row>
    <row r="4" customFormat="false" ht="15" hidden="false" customHeight="false" outlineLevel="0" collapsed="false">
      <c r="A4" s="26" t="s">
        <v>118</v>
      </c>
      <c r="B4" s="26" t="s">
        <v>119</v>
      </c>
    </row>
    <row r="5" customFormat="false" ht="15" hidden="false" customHeight="false" outlineLevel="0" collapsed="false">
      <c r="A5" s="27" t="n">
        <v>1988</v>
      </c>
      <c r="B5" s="0" t="n">
        <v>2.48</v>
      </c>
    </row>
    <row r="6" customFormat="false" ht="15" hidden="false" customHeight="false" outlineLevel="0" collapsed="false">
      <c r="A6" s="27" t="n">
        <v>1989</v>
      </c>
      <c r="B6" s="0" t="n">
        <v>1.43</v>
      </c>
    </row>
    <row r="7" customFormat="false" ht="15" hidden="false" customHeight="false" outlineLevel="0" collapsed="false">
      <c r="A7" s="27" t="n">
        <v>1990</v>
      </c>
      <c r="B7" s="0" t="n">
        <v>1.56</v>
      </c>
    </row>
    <row r="8" customFormat="false" ht="15" hidden="false" customHeight="false" outlineLevel="0" collapsed="false">
      <c r="A8" s="27" t="n">
        <v>1991</v>
      </c>
      <c r="B8" s="0" t="n">
        <v>2.02</v>
      </c>
    </row>
    <row r="9" customFormat="false" ht="15" hidden="false" customHeight="false" outlineLevel="0" collapsed="false">
      <c r="A9" s="27" t="n">
        <v>1992</v>
      </c>
      <c r="B9" s="0" t="n">
        <v>2.13</v>
      </c>
    </row>
    <row r="10" customFormat="false" ht="15" hidden="false" customHeight="false" outlineLevel="0" collapsed="false">
      <c r="A10" s="27" t="n">
        <v>1993</v>
      </c>
      <c r="B10" s="0" t="n">
        <v>2.12</v>
      </c>
    </row>
    <row r="11" customFormat="false" ht="15" hidden="false" customHeight="false" outlineLevel="0" collapsed="false">
      <c r="A11" s="27" t="n">
        <v>1994</v>
      </c>
      <c r="B11" s="0" t="n">
        <v>2.36</v>
      </c>
    </row>
    <row r="12" customFormat="false" ht="15" hidden="false" customHeight="false" outlineLevel="0" collapsed="false">
      <c r="A12" s="27" t="n">
        <v>1995</v>
      </c>
      <c r="B12" s="0" t="n">
        <v>2.2</v>
      </c>
    </row>
    <row r="13" customFormat="false" ht="15" hidden="false" customHeight="false" outlineLevel="0" collapsed="false">
      <c r="A13" s="27" t="n">
        <v>1996</v>
      </c>
      <c r="B13" s="0" t="n">
        <v>1.82</v>
      </c>
    </row>
    <row r="14" customFormat="false" ht="15" hidden="false" customHeight="false" outlineLevel="0" collapsed="false">
      <c r="A14" s="27" t="n">
        <v>1997</v>
      </c>
      <c r="B14" s="0" t="n">
        <v>1.78</v>
      </c>
    </row>
    <row r="15" customFormat="false" ht="15" hidden="false" customHeight="false" outlineLevel="0" collapsed="false">
      <c r="A15" s="27" t="n">
        <v>1998</v>
      </c>
      <c r="B15" s="0" t="n">
        <v>1.98</v>
      </c>
    </row>
    <row r="16" customFormat="false" ht="15" hidden="false" customHeight="false" outlineLevel="0" collapsed="false">
      <c r="A16" s="27" t="n">
        <v>1999</v>
      </c>
      <c r="B16" s="0" t="n">
        <v>1.73</v>
      </c>
    </row>
    <row r="17" customFormat="false" ht="15" hidden="false" customHeight="false" outlineLevel="0" collapsed="false">
      <c r="A17" s="27" t="n">
        <v>2000</v>
      </c>
      <c r="B17" s="0" t="n">
        <v>1.55</v>
      </c>
    </row>
    <row r="18" customFormat="false" ht="15" hidden="false" customHeight="false" outlineLevel="0" collapsed="false">
      <c r="A18" s="27" t="n">
        <v>2001</v>
      </c>
      <c r="B18" s="0" t="n">
        <v>1.83</v>
      </c>
    </row>
    <row r="19" customFormat="false" ht="15" hidden="false" customHeight="false" outlineLevel="0" collapsed="false">
      <c r="A19" s="27" t="n">
        <v>2002</v>
      </c>
      <c r="B19" s="0" t="n">
        <v>2.45</v>
      </c>
    </row>
    <row r="20" customFormat="false" ht="15" hidden="false" customHeight="false" outlineLevel="0" collapsed="false">
      <c r="A20" s="27" t="n">
        <v>2003</v>
      </c>
      <c r="B20" s="0" t="n">
        <v>1.96</v>
      </c>
    </row>
    <row r="21" customFormat="false" ht="15" hidden="false" customHeight="false" outlineLevel="0" collapsed="false">
      <c r="A21" s="27" t="n">
        <v>2004</v>
      </c>
      <c r="B21" s="0" t="n">
        <v>1.65</v>
      </c>
    </row>
    <row r="22" customFormat="false" ht="15" hidden="false" customHeight="false" outlineLevel="0" collapsed="false">
      <c r="A22" s="27" t="n">
        <v>2005</v>
      </c>
      <c r="B22" s="0" t="n">
        <v>1.87</v>
      </c>
    </row>
    <row r="23" customFormat="false" ht="15" hidden="false" customHeight="false" outlineLevel="0" collapsed="false">
      <c r="A23" s="27" t="n">
        <v>2006</v>
      </c>
      <c r="B23" s="0" t="n">
        <v>1.98</v>
      </c>
    </row>
    <row r="24" customFormat="false" ht="15" hidden="false" customHeight="false" outlineLevel="0" collapsed="false">
      <c r="A24" s="27" t="n">
        <v>2007</v>
      </c>
      <c r="B24" s="0" t="n">
        <v>2.24</v>
      </c>
    </row>
    <row r="25" customFormat="false" ht="15" hidden="false" customHeight="false" outlineLevel="0" collapsed="false">
      <c r="A25" s="27" t="n">
        <v>2008</v>
      </c>
      <c r="B25" s="0" t="n">
        <v>2.16</v>
      </c>
    </row>
    <row r="26" customFormat="false" ht="15" hidden="false" customHeight="false" outlineLevel="0" collapsed="false">
      <c r="A26" s="27" t="n">
        <v>2009</v>
      </c>
      <c r="B26" s="0" t="n">
        <v>1.59</v>
      </c>
    </row>
    <row r="27" customFormat="false" ht="15" hidden="false" customHeight="false" outlineLevel="0" collapsed="false">
      <c r="A27" s="27" t="n">
        <v>2010</v>
      </c>
      <c r="B27" s="0" t="n">
        <v>1.71</v>
      </c>
    </row>
    <row r="28" customFormat="false" ht="15" hidden="false" customHeight="false" outlineLevel="0" collapsed="false">
      <c r="A28" s="27" t="n">
        <v>2011</v>
      </c>
      <c r="B28" s="0" t="n">
        <v>1.82</v>
      </c>
    </row>
    <row r="29" customFormat="false" ht="15" hidden="false" customHeight="false" outlineLevel="0" collapsed="false">
      <c r="A29" s="27" t="n">
        <v>2012</v>
      </c>
      <c r="B29" s="0" t="n">
        <v>2.13</v>
      </c>
    </row>
    <row r="30" customFormat="false" ht="15" hidden="false" customHeight="false" outlineLevel="0" collapsed="false">
      <c r="A30" s="28" t="n">
        <v>2013</v>
      </c>
      <c r="B30" s="0" t="n">
        <v>1.89</v>
      </c>
    </row>
    <row r="31" customFormat="false" ht="13.8" hidden="false" customHeight="false" outlineLevel="0" collapsed="false">
      <c r="A31" s="0" t="n">
        <v>2014</v>
      </c>
      <c r="B31" s="0" t="n">
        <v>1.92</v>
      </c>
    </row>
    <row r="32" customFormat="false" ht="13.8" hidden="false" customHeight="false" outlineLevel="0" collapsed="false">
      <c r="A32" s="0" t="n">
        <v>2015</v>
      </c>
      <c r="B32" s="0" t="n">
        <v>1.93</v>
      </c>
    </row>
    <row r="34" customFormat="false" ht="13.8" hidden="false" customHeight="false" outlineLevel="0" collapsed="false">
      <c r="A34" s="0" t="s">
        <v>120</v>
      </c>
      <c r="B34" s="0" t="n">
        <f aca="false">AVERAGE(B5:B30)</f>
        <v>1.94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B2" activeCellId="0" sqref="B2"/>
    </sheetView>
  </sheetViews>
  <sheetFormatPr defaultRowHeight="12.8"/>
  <cols>
    <col collapsed="false" hidden="false" max="1025" min="1" style="0" width="9.10526315789474"/>
  </cols>
  <sheetData>
    <row r="1" customFormat="false" ht="12.8" hidden="false" customHeight="false" outlineLevel="0" collapsed="false">
      <c r="A1" s="0" t="s">
        <v>28</v>
      </c>
      <c r="B1" s="0" t="s">
        <v>121</v>
      </c>
    </row>
    <row r="2" customFormat="false" ht="13.8" hidden="false" customHeight="false" outlineLevel="0" collapsed="false">
      <c r="A2" s="0" t="n">
        <v>2001</v>
      </c>
      <c r="B2" s="0" t="n">
        <v>26.4668</v>
      </c>
    </row>
    <row r="3" customFormat="false" ht="13.8" hidden="false" customHeight="false" outlineLevel="0" collapsed="false">
      <c r="A3" s="0" t="n">
        <v>2002</v>
      </c>
      <c r="B3" s="0" t="n">
        <v>31.8979</v>
      </c>
    </row>
    <row r="4" customFormat="false" ht="13.8" hidden="false" customHeight="false" outlineLevel="0" collapsed="false">
      <c r="A4" s="0" t="n">
        <v>2003</v>
      </c>
      <c r="B4" s="0" t="n">
        <v>36.0351</v>
      </c>
    </row>
    <row r="5" customFormat="false" ht="13.8" hidden="false" customHeight="false" outlineLevel="0" collapsed="false">
      <c r="A5" s="0" t="n">
        <v>2004</v>
      </c>
      <c r="B5" s="0" t="n">
        <v>38.6269</v>
      </c>
    </row>
    <row r="6" customFormat="false" ht="13.8" hidden="false" customHeight="false" outlineLevel="0" collapsed="false">
      <c r="A6" s="0" t="n">
        <v>2005</v>
      </c>
      <c r="B6" s="0" t="n">
        <v>30.4991</v>
      </c>
    </row>
    <row r="7" customFormat="false" ht="13.8" hidden="false" customHeight="false" outlineLevel="0" collapsed="false">
      <c r="A7" s="0" t="n">
        <v>2006</v>
      </c>
      <c r="B7" s="0" t="n">
        <v>43.9984</v>
      </c>
    </row>
    <row r="8" customFormat="false" ht="13.8" hidden="false" customHeight="false" outlineLevel="0" collapsed="false">
      <c r="A8" s="0" t="n">
        <v>2007</v>
      </c>
      <c r="B8" s="0" t="n">
        <v>41.2178</v>
      </c>
    </row>
    <row r="9" customFormat="false" ht="13.8" hidden="false" customHeight="false" outlineLevel="0" collapsed="false">
      <c r="A9" s="0" t="n">
        <v>2008</v>
      </c>
      <c r="B9" s="0" t="n">
        <v>33.106</v>
      </c>
    </row>
    <row r="10" customFormat="false" ht="13.8" hidden="false" customHeight="false" outlineLevel="0" collapsed="false">
      <c r="A10" s="0" t="n">
        <v>2009</v>
      </c>
      <c r="B10" s="0" t="n">
        <v>34.469</v>
      </c>
    </row>
    <row r="11" customFormat="false" ht="13.8" hidden="false" customHeight="false" outlineLevel="0" collapsed="false">
      <c r="A11" s="0" t="n">
        <v>2010</v>
      </c>
      <c r="B11" s="0" t="n">
        <v>34.5673</v>
      </c>
    </row>
    <row r="12" customFormat="false" ht="13.8" hidden="false" customHeight="false" outlineLevel="0" collapsed="false">
      <c r="A12" s="0" t="n">
        <v>2011</v>
      </c>
      <c r="B12" s="0" t="n">
        <v>40.1586</v>
      </c>
    </row>
    <row r="13" customFormat="false" ht="13.8" hidden="false" customHeight="false" outlineLevel="0" collapsed="false">
      <c r="A13" s="0" t="n">
        <v>2012</v>
      </c>
      <c r="B13" s="0" t="n">
        <v>72.7279</v>
      </c>
    </row>
    <row r="14" customFormat="false" ht="13.8" hidden="false" customHeight="false" outlineLevel="0" collapsed="false">
      <c r="A14" s="0" t="n">
        <v>2013</v>
      </c>
      <c r="B14" s="0" t="n">
        <v>70.8365</v>
      </c>
    </row>
    <row r="15" customFormat="false" ht="13.8" hidden="false" customHeight="false" outlineLevel="0" collapsed="false">
      <c r="A15" s="0" t="n">
        <v>2014</v>
      </c>
      <c r="B15" s="0" t="n">
        <v>63.5715</v>
      </c>
    </row>
    <row r="16" customFormat="false" ht="13.8" hidden="false" customHeight="false" outlineLevel="0" collapsed="false">
      <c r="A16" s="0" t="n">
        <v>2015</v>
      </c>
      <c r="B16" s="0" t="n">
        <v>67.2613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2014-07-21T13:46:10Z</dcterms:created>
  <dc:creator>David Die</dc:creator>
  <dc:description/>
  <dc:language>en-US</dc:language>
  <cp:lastModifiedBy/>
  <dcterms:modified xsi:type="dcterms:W3CDTF">2016-07-12T11:40:42Z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0x010100C8B6C6BE559D0D46BABAAC3CD81D9BF3</vt:lpwstr>
  </property>
</Properties>
</file>